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4215" yWindow="3660" windowWidth="21600" windowHeight="11385" tabRatio="600" firstSheet="0" activeTab="3" autoFilterDateGrouping="1"/>
  </bookViews>
  <sheets>
    <sheet name="物品" sheetId="1" state="visible" r:id="rId1"/>
    <sheet name="单位" sheetId="2" state="visible" r:id="rId2"/>
    <sheet name="技能" sheetId="3" state="visible" r:id="rId3"/>
    <sheet name="科技" sheetId="4" state="visible" r:id="rId4"/>
    <sheet name="属性文字组合" sheetId="5" state="visible" r:id="rId5"/>
    <sheet name="备用" sheetId="6" state="visible" r:id="rId6"/>
  </sheets>
  <definedNames>
    <definedName name="_xlnm._FilterDatabase" localSheetId="0" hidden="1">'物品'!$A$2:$AP$221</definedName>
    <definedName name="_xlnm._FilterDatabase" localSheetId="1" hidden="1">'单位'!$A$2:$AB$217</definedName>
  </definedNames>
  <calcPr calcId="145621" fullCalcOnLoad="1"/>
</workbook>
</file>

<file path=xl/styles.xml><?xml version="1.0" encoding="utf-8"?>
<styleSheet xmlns="http://schemas.openxmlformats.org/spreadsheetml/2006/main">
  <numFmts count="0"/>
  <fonts count="4">
    <font>
      <name val="等线"/>
      <charset val="134"/>
      <color theme="1"/>
      <sz val="11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sz val="9"/>
      <scheme val="minor"/>
    </font>
    <font>
      <name val="等线"/>
      <charset val="134"/>
      <color rgb="FF000000"/>
      <sz val="11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5">
    <xf numFmtId="0" fontId="0" fillId="0" borderId="0"/>
    <xf numFmtId="0" fontId="1" fillId="0" borderId="0" applyAlignment="1">
      <alignment vertical="center"/>
    </xf>
    <xf numFmtId="0" fontId="1" fillId="0" borderId="0" applyAlignment="1">
      <alignment vertical="center"/>
    </xf>
    <xf numFmtId="0" fontId="1" fillId="0" borderId="0" applyAlignment="1">
      <alignment vertical="center"/>
    </xf>
    <xf numFmtId="0" fontId="1" fillId="0" borderId="0" applyAlignment="1">
      <alignment vertical="center"/>
    </xf>
  </cellStyleXfs>
  <cellXfs count="5">
    <xf numFmtId="0" fontId="0" fillId="0" borderId="0" pivotButton="0" quotePrefix="0" xfId="0"/>
    <xf numFmtId="0" fontId="0" fillId="0" borderId="0" applyAlignment="1" pivotButton="0" quotePrefix="0" xfId="0">
      <alignment horizontal="left" vertical="center"/>
    </xf>
    <xf numFmtId="0" fontId="0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0" applyAlignment="1" pivotButton="0" quotePrefix="0" xfId="0">
      <alignment vertical="top"/>
    </xf>
  </cellXfs>
  <cellStyles count="5">
    <cellStyle name="常规" xfId="0" builtinId="0"/>
    <cellStyle name="常规 2 2" xfId="1"/>
    <cellStyle name="常规 2" xfId="2"/>
    <cellStyle name="常规 3" xfId="3"/>
    <cellStyle name="常规 4" xfId="4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styles" Target="styles.xml" Id="rId7" /><Relationship Type="http://schemas.openxmlformats.org/officeDocument/2006/relationships/theme" Target="theme/theme1.xml" Id="rId8" /><Relationship Type="http://schemas.microsoft.com/office/2006/relationships/vbaProject" Target="vbaProject.bin" Id="rId9" 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_rels/sheet2.xml.rels><Relationships xmlns="http://schemas.openxmlformats.org/package/2006/relationships"><Relationship Type="http://schemas.openxmlformats.org/officeDocument/2006/relationships/vmlDrawing" Target="/xl/drawings/vmlDrawing2.vml" Id="anysvml" /></Relationships>
</file>

<file path=xl/worksheets/_rels/sheet3.xml.rels><Relationships xmlns="http://schemas.openxmlformats.org/package/2006/relationships"><Relationship Type="http://schemas.openxmlformats.org/officeDocument/2006/relationships/vmlDrawing" Target="/xl/drawings/vmlDrawing3.vml" Id="anysvml" 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">
    <outlinePr summaryBelow="1" summaryRight="1"/>
    <pageSetUpPr/>
  </sheetPr>
  <dimension ref="B1:P11"/>
  <sheetViews>
    <sheetView zoomScale="95" zoomScaleNormal="95" workbookViewId="0">
      <pane xSplit="11" ySplit="2" topLeftCell="L3" activePane="bottomRight" state="frozen"/>
      <selection pane="topRight" activeCell="A1" sqref="A1"/>
      <selection pane="bottomLeft" activeCell="A1" sqref="A1"/>
      <selection pane="bottomRight" activeCell="A3" sqref="A3:XFD11"/>
    </sheetView>
  </sheetViews>
  <sheetFormatPr baseColWidth="8" defaultColWidth="10.5" defaultRowHeight="16.15" customHeight="1"/>
  <cols>
    <col width="10.5" customWidth="1" style="2" min="1" max="4"/>
    <col outlineLevel="1" width="10.5" customWidth="1" style="2" min="5" max="6"/>
    <col outlineLevel="1" width="16.25" customWidth="1" style="2" min="7" max="7"/>
    <col width="21.75" customWidth="1" style="2" min="8" max="8"/>
    <col width="10.5" customWidth="1" style="2" min="9" max="9"/>
    <col width="25" customWidth="1" style="3" min="10" max="10"/>
    <col width="45.125" customWidth="1" style="4" min="11" max="11"/>
    <col width="10.5" customWidth="1" style="2" min="12" max="20"/>
    <col width="10.5" customWidth="1" style="2" min="21" max="16384"/>
  </cols>
  <sheetData>
    <row r="1" ht="16.15" customHeight="1">
      <c r="B1" t="inlineStr">
        <is>
          <t>类型</t>
        </is>
      </c>
      <c r="C1" t="inlineStr">
        <is>
          <t>物遍ID</t>
        </is>
      </c>
      <c r="D1" t="inlineStr">
        <is>
          <t>父对象</t>
        </is>
      </c>
      <c r="E1" t="inlineStr">
        <is>
          <t>界面图标</t>
        </is>
      </c>
      <c r="F1" t="inlineStr">
        <is>
          <t>说明</t>
        </is>
      </c>
      <c r="G1" t="inlineStr">
        <is>
          <t>名字</t>
        </is>
      </c>
      <c r="H1" t="inlineStr">
        <is>
          <t>提示工具 - 基础</t>
        </is>
      </c>
      <c r="I1" t="inlineStr">
        <is>
          <t>提示工具 - 扩展</t>
        </is>
      </c>
      <c r="J1" t="inlineStr">
        <is>
          <t>技能</t>
        </is>
      </c>
      <c r="K1" t="inlineStr">
        <is>
          <t>使用模型</t>
        </is>
      </c>
      <c r="L1" t="inlineStr">
        <is>
          <t>使用完会消失</t>
        </is>
      </c>
      <c r="M1" t="inlineStr">
        <is>
          <t>主动使用</t>
        </is>
      </c>
      <c r="N1" t="inlineStr">
        <is>
          <t>使用次数</t>
        </is>
      </c>
      <c r="O1" t="inlineStr">
        <is>
          <t>可以被抵押</t>
        </is>
      </c>
      <c r="P1" t="inlineStr">
        <is>
          <t>可被市场出售</t>
        </is>
      </c>
    </row>
    <row r="2" ht="16.15" customHeight="1">
      <c r="B2" t="inlineStr">
        <is>
          <t>item</t>
        </is>
      </c>
      <c r="C2" t="inlineStr">
        <is>
          <t>ID</t>
        </is>
      </c>
      <c r="D2" t="inlineStr">
        <is>
          <t>parent</t>
        </is>
      </c>
      <c r="E2" t="inlineStr">
        <is>
          <t>Art</t>
        </is>
      </c>
      <c r="F2" t="inlineStr">
        <is>
          <t>Description</t>
        </is>
      </c>
      <c r="G2" t="inlineStr">
        <is>
          <t>Name</t>
        </is>
      </c>
      <c r="H2" t="inlineStr">
        <is>
          <t>Tip</t>
        </is>
      </c>
      <c r="I2" t="inlineStr">
        <is>
          <t>Ubertip</t>
        </is>
      </c>
      <c r="J2" t="inlineStr">
        <is>
          <t>abilList</t>
        </is>
      </c>
      <c r="K2" t="inlineStr">
        <is>
          <t>file</t>
        </is>
      </c>
      <c r="L2" t="inlineStr">
        <is>
          <t>perishable</t>
        </is>
      </c>
      <c r="M2" t="inlineStr">
        <is>
          <t>usable</t>
        </is>
      </c>
      <c r="N2" t="inlineStr">
        <is>
          <t>uses</t>
        </is>
      </c>
      <c r="O2" t="inlineStr">
        <is>
          <t>pawnable</t>
        </is>
      </c>
      <c r="P2" t="inlineStr">
        <is>
          <t>sellable</t>
        </is>
      </c>
    </row>
    <row r="3" ht="16.15" customHeight="1"/>
    <row r="4" ht="16.15" customHeight="1"/>
    <row r="5" ht="16.15" customHeight="1"/>
    <row r="6" ht="16.15" customHeight="1"/>
    <row r="7" ht="16.15" customHeight="1"/>
    <row r="8" ht="16.15" customHeight="1"/>
    <row r="9" ht="16.15" customHeight="1"/>
    <row r="10" ht="16.15" customHeight="1"/>
    <row r="11" ht="16.15" customHeight="1"/>
    <row r="14" ht="16.15" customFormat="1" customHeight="1" s="3"/>
    <row r="15" ht="16.15" customFormat="1" customHeight="1" s="3"/>
    <row r="16" ht="16.15" customFormat="1" customHeight="1" s="3"/>
    <row r="17" ht="16.15" customFormat="1" customHeight="1" s="3"/>
    <row r="18" ht="16.15" customFormat="1" customHeight="1" s="3"/>
    <row r="19" ht="16.15" customFormat="1" customHeight="1" s="3"/>
    <row r="20" ht="16.15" customFormat="1" customHeight="1" s="3"/>
    <row r="21" ht="16.15" customFormat="1" customHeight="1" s="3"/>
    <row r="22" ht="16.15" customFormat="1" customHeight="1" s="3"/>
    <row r="23" ht="16.15" customFormat="1" customHeight="1" s="3"/>
    <row r="24" ht="16.15" customFormat="1" customHeight="1" s="3"/>
    <row r="56" ht="16.15" customHeight="1" thickBot="1"/>
    <row r="57" ht="15.75" customHeight="1" thickBot="1" thickTop="1"/>
    <row r="58" ht="15.75" customHeight="1" thickTop="1"/>
    <row r="59" ht="15.75" customHeight="1"/>
    <row r="60" ht="15.75" customHeight="1"/>
    <row r="61" ht="15.75" customHeight="1"/>
    <row r="6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2" ht="15.75" customHeight="1"/>
    <row r="223" ht="15.75" customHeight="1"/>
    <row r="224" ht="15.75" customHeight="1"/>
  </sheetData>
  <autoFilter ref="A2:AP221"/>
  <pageMargins left="0.7" right="0.7" top="0.75" bottom="0.75" header="0.3" footer="0.3"/>
  <pageSetup orientation="portrait" paperSize="9" scale="19" fitToHeight="0" fitToWidth="0" horizontalDpi="200" verticalDpi="300"/>
  <legacyDrawing r:id="anysvml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3">
    <outlinePr summaryBelow="1" summaryRight="1"/>
    <pageSetUpPr/>
  </sheetPr>
  <dimension ref="B1:AO7"/>
  <sheetViews>
    <sheetView zoomScale="96" zoomScaleNormal="96" zoomScaleSheetLayoutView="95" workbookViewId="0">
      <pane xSplit="9" ySplit="2" topLeftCell="J3" activePane="bottomRight" state="frozen"/>
      <selection pane="topRight" activeCell="A1" sqref="A1"/>
      <selection pane="bottomLeft" activeCell="A1" sqref="A1"/>
      <selection pane="bottomRight" activeCell="J8" sqref="J8"/>
    </sheetView>
  </sheetViews>
  <sheetFormatPr baseColWidth="8" defaultRowHeight="13.5"/>
  <cols>
    <col width="16.875" bestFit="1" customWidth="1" min="9" max="9"/>
    <col width="14.375" bestFit="1" customWidth="1" min="10" max="10"/>
    <col width="16.875" bestFit="1" customWidth="1" min="16" max="16"/>
  </cols>
  <sheetData>
    <row r="1">
      <c r="B1" t="inlineStr">
        <is>
          <t>类型</t>
        </is>
      </c>
      <c r="C1" t="inlineStr">
        <is>
          <t>物遍ID</t>
        </is>
      </c>
      <c r="D1" t="inlineStr">
        <is>
          <t>父对象</t>
        </is>
      </c>
      <c r="E1" t="inlineStr">
        <is>
          <t>图标 - 游戏界面</t>
        </is>
      </c>
      <c r="F1" t="inlineStr">
        <is>
          <t>按钮位置(X)</t>
        </is>
      </c>
      <c r="G1" t="inlineStr">
        <is>
          <t>生命最大值</t>
        </is>
      </c>
      <c r="H1" t="inlineStr">
        <is>
          <t>攻击 1 - 投射物图像</t>
        </is>
      </c>
      <c r="I1" t="inlineStr">
        <is>
          <t>攻击 1 - 射弹速率</t>
        </is>
      </c>
      <c r="J1" t="inlineStr">
        <is>
          <t>名字</t>
        </is>
      </c>
      <c r="K1" t="inlineStr">
        <is>
          <t>称谓</t>
        </is>
      </c>
      <c r="L1" t="inlineStr">
        <is>
          <t>提示工具 - 基础</t>
        </is>
      </c>
      <c r="M1" t="inlineStr">
        <is>
          <t>提示工具 - 扩展</t>
        </is>
      </c>
      <c r="N1" t="inlineStr">
        <is>
          <t>静态对象</t>
        </is>
      </c>
      <c r="O1" t="inlineStr">
        <is>
          <t>普通</t>
        </is>
      </c>
      <c r="P1" t="inlineStr">
        <is>
          <t>攻击 1 - 攻击间隔</t>
        </is>
      </c>
      <c r="Q1" t="inlineStr">
        <is>
          <t>死亡类型</t>
        </is>
      </c>
      <c r="R1" t="inlineStr">
        <is>
          <t>攻击 1 - 动画伤害点</t>
        </is>
      </c>
      <c r="S1" t="inlineStr">
        <is>
          <t>英雄</t>
        </is>
      </c>
      <c r="T1" t="inlineStr">
        <is>
          <t>称谓数量</t>
        </is>
      </c>
      <c r="U1" t="inlineStr">
        <is>
          <t>生命回复</t>
        </is>
      </c>
      <c r="V1" t="inlineStr">
        <is>
          <t>魔法回复</t>
        </is>
      </c>
      <c r="W1" t="inlineStr">
        <is>
          <t>攻击 1 - 伤害骰子面数</t>
        </is>
      </c>
      <c r="X1" t="inlineStr">
        <is>
          <t>视野范围(白天)</t>
        </is>
      </c>
      <c r="Y1" t="inlineStr">
        <is>
          <t>攻击 1 - 范围影响目标</t>
        </is>
      </c>
      <c r="Z1" t="inlineStr">
        <is>
          <t>按钮位置(Y)</t>
        </is>
      </c>
      <c r="AA1" t="inlineStr">
        <is>
          <t>热键</t>
        </is>
      </c>
      <c r="AB1" t="inlineStr">
        <is>
          <t>特殊效果</t>
        </is>
      </c>
      <c r="AC1" t="inlineStr">
        <is>
          <t>攻击 1 - 攻击类型</t>
        </is>
      </c>
      <c r="AD1" t="inlineStr">
        <is>
          <t>碰撞体积</t>
        </is>
      </c>
      <c r="AE1" t="inlineStr">
        <is>
          <t>攻击 1 - 伤害骰子数量</t>
        </is>
      </c>
      <c r="AF1" t="inlineStr">
        <is>
          <t>攻击 1 - 基础伤害</t>
        </is>
      </c>
      <c r="AG1" t="inlineStr">
        <is>
          <t>魔法初始数量</t>
        </is>
      </c>
      <c r="AH1" t="inlineStr">
        <is>
          <t>视野范围(夜晚)</t>
        </is>
      </c>
      <c r="AI1" t="inlineStr">
        <is>
          <t>攻击 1 - 攻击范围</t>
        </is>
      </c>
      <c r="AJ1" t="inlineStr">
        <is>
          <t>可建造建筑</t>
        </is>
      </c>
      <c r="AK1" t="inlineStr">
        <is>
          <t>单位附加值</t>
        </is>
      </c>
      <c r="AL1" t="inlineStr">
        <is>
          <t>单位类别</t>
        </is>
      </c>
      <c r="AM1" t="inlineStr">
        <is>
          <t>使用科技</t>
        </is>
      </c>
      <c r="AN1" t="inlineStr">
        <is>
          <t>模型文件</t>
        </is>
      </c>
      <c r="AO1" t="inlineStr">
        <is>
          <t>模型缩放</t>
        </is>
      </c>
    </row>
    <row r="2">
      <c r="B2" t="inlineStr">
        <is>
          <t>unit</t>
        </is>
      </c>
      <c r="C2" t="inlineStr">
        <is>
          <t>ID</t>
        </is>
      </c>
      <c r="D2" t="inlineStr">
        <is>
          <t>parent</t>
        </is>
      </c>
      <c r="E2" t="inlineStr">
        <is>
          <t>Art</t>
        </is>
      </c>
      <c r="F2" t="inlineStr">
        <is>
          <t>Buttonpos_1</t>
        </is>
      </c>
      <c r="G2" t="inlineStr">
        <is>
          <t>HP</t>
        </is>
      </c>
      <c r="H2" t="inlineStr">
        <is>
          <t>Missileart_1</t>
        </is>
      </c>
      <c r="I2" t="inlineStr">
        <is>
          <t>Missilespeed_1</t>
        </is>
      </c>
      <c r="J2" t="inlineStr">
        <is>
          <t>Name</t>
        </is>
      </c>
      <c r="K2" t="inlineStr">
        <is>
          <t>Propernames</t>
        </is>
      </c>
      <c r="L2" t="inlineStr">
        <is>
          <t>Tip</t>
        </is>
      </c>
      <c r="M2" t="inlineStr">
        <is>
          <t>Ubertip</t>
        </is>
      </c>
      <c r="N2" t="inlineStr">
        <is>
          <t>W2LObject</t>
        </is>
      </c>
      <c r="O2" t="inlineStr">
        <is>
          <t>abilList</t>
        </is>
      </c>
      <c r="P2" t="inlineStr">
        <is>
          <t>cool1</t>
        </is>
      </c>
      <c r="Q2" t="inlineStr">
        <is>
          <t>deathType</t>
        </is>
      </c>
      <c r="R2" t="inlineStr">
        <is>
          <t>dmgpt1</t>
        </is>
      </c>
      <c r="S2" t="inlineStr">
        <is>
          <t>heroAbilList</t>
        </is>
      </c>
      <c r="T2" t="inlineStr">
        <is>
          <t>nameCount</t>
        </is>
      </c>
      <c r="U2" t="inlineStr">
        <is>
          <t>regenHP</t>
        </is>
      </c>
      <c r="V2" t="inlineStr">
        <is>
          <t>regenMana</t>
        </is>
      </c>
      <c r="W2" t="inlineStr">
        <is>
          <t>sides1</t>
        </is>
      </c>
      <c r="X2" t="inlineStr">
        <is>
          <t>sight</t>
        </is>
      </c>
      <c r="Y2" t="inlineStr">
        <is>
          <t>splashTargs1</t>
        </is>
      </c>
      <c r="Z2" t="inlineStr">
        <is>
          <t>Buttonpos_2</t>
        </is>
      </c>
      <c r="AA2" t="inlineStr">
        <is>
          <t>Hotkey</t>
        </is>
      </c>
      <c r="AB2" t="inlineStr">
        <is>
          <t>Specialart</t>
        </is>
      </c>
      <c r="AC2" t="inlineStr">
        <is>
          <t>atkType1</t>
        </is>
      </c>
      <c r="AD2" t="inlineStr">
        <is>
          <t>collision</t>
        </is>
      </c>
      <c r="AE2" t="inlineStr">
        <is>
          <t>dice1</t>
        </is>
      </c>
      <c r="AF2" t="inlineStr">
        <is>
          <t>dmgplus1</t>
        </is>
      </c>
      <c r="AG2" t="inlineStr">
        <is>
          <t>mana0</t>
        </is>
      </c>
      <c r="AH2" t="inlineStr">
        <is>
          <t>nsight</t>
        </is>
      </c>
      <c r="AI2" t="inlineStr">
        <is>
          <t>rangeN1</t>
        </is>
      </c>
      <c r="AJ2" t="inlineStr">
        <is>
          <t>Builds</t>
        </is>
      </c>
      <c r="AK2" t="inlineStr">
        <is>
          <t>points</t>
        </is>
      </c>
      <c r="AL2" t="inlineStr">
        <is>
          <t>type</t>
        </is>
      </c>
      <c r="AM2" t="inlineStr">
        <is>
          <t>upgrades</t>
        </is>
      </c>
      <c r="AN2" t="inlineStr">
        <is>
          <t>file</t>
        </is>
      </c>
      <c r="AO2" t="inlineStr">
        <is>
          <t>modelScale</t>
        </is>
      </c>
    </row>
    <row r="3">
      <c r="C3" t="inlineStr">
        <is>
          <t>hpea</t>
        </is>
      </c>
      <c r="D3" t="inlineStr">
        <is>
          <t>"hpea"</t>
        </is>
      </c>
      <c r="E3" t="inlineStr">
        <is>
          <t>"UI\\btn041.blp"</t>
        </is>
      </c>
    </row>
    <row r="4">
      <c r="C4" t="inlineStr">
        <is>
          <t>A001</t>
        </is>
      </c>
      <c r="D4" t="inlineStr">
        <is>
          <t>"Hpal"</t>
        </is>
      </c>
      <c r="F4" t="inlineStr">
        <is>
          <t>0</t>
        </is>
      </c>
      <c r="G4" t="inlineStr">
        <is>
          <t>1000</t>
        </is>
      </c>
      <c r="H4" t="inlineStr">
        <is>
          <t>"Abilities\\Spells\\Other\\Tornado\\TornadoElemental.mdl"</t>
        </is>
      </c>
      <c r="I4" t="inlineStr">
        <is>
          <t>1000</t>
        </is>
      </c>
      <c r="J4" t="inlineStr">
        <is>
          <t>"阿巴巴"</t>
        </is>
      </c>
      <c r="K4" t="inlineStr">
        <is>
          <t>"哥兰尼斯-闇锤,卓尔-忏悔者"</t>
        </is>
      </c>
      <c r="L4" t="inlineStr">
        <is>
          <t>"A"</t>
        </is>
      </c>
      <c r="M4" t="inlineStr">
        <is>
          <t>"B"</t>
        </is>
      </c>
      <c r="N4" t="inlineStr">
        <is>
          <t>"static"</t>
        </is>
      </c>
      <c r="O4" t="inlineStr">
        <is>
          <t>"S004"</t>
        </is>
      </c>
      <c r="P4" t="inlineStr">
        <is>
          <t>1.</t>
        </is>
      </c>
      <c r="Q4" t="inlineStr">
        <is>
          <t>0</t>
        </is>
      </c>
      <c r="R4" t="inlineStr">
        <is>
          <t>0.3</t>
        </is>
      </c>
      <c r="S4" t="inlineStr">
        <is>
          <t>""</t>
        </is>
      </c>
      <c r="T4" t="inlineStr">
        <is>
          <t>1</t>
        </is>
      </c>
      <c r="U4" t="inlineStr">
        <is>
          <t>2.</t>
        </is>
      </c>
      <c r="V4" t="inlineStr">
        <is>
          <t>1.</t>
        </is>
      </c>
      <c r="W4" t="inlineStr">
        <is>
          <t>3</t>
        </is>
      </c>
      <c r="X4" t="inlineStr">
        <is>
          <t>1000</t>
        </is>
      </c>
      <c r="Y4" t="inlineStr">
        <is>
          <t>"notself,debris"</t>
        </is>
      </c>
    </row>
    <row r="5">
      <c r="C5" t="inlineStr">
        <is>
          <t>b001</t>
        </is>
      </c>
      <c r="D5" t="inlineStr">
        <is>
          <t>"hfoo"</t>
        </is>
      </c>
      <c r="G5" t="inlineStr">
        <is>
          <t>1000</t>
        </is>
      </c>
      <c r="H5" t="inlineStr">
        <is>
          <t>"Abilities\\Spells\\Other\\Tornado\\TornadoElemental.mdl"</t>
        </is>
      </c>
      <c r="I5" t="inlineStr">
        <is>
          <t>1000</t>
        </is>
      </c>
      <c r="J5" t="inlineStr">
        <is>
          <t>"测试"</t>
        </is>
      </c>
      <c r="L5" t="inlineStr">
        <is>
          <t>"A"</t>
        </is>
      </c>
      <c r="M5" t="inlineStr">
        <is>
          <t>"B"</t>
        </is>
      </c>
      <c r="N5" t="inlineStr">
        <is>
          <t>"static"</t>
        </is>
      </c>
      <c r="O5" t="inlineStr">
        <is>
          <t>""</t>
        </is>
      </c>
      <c r="P5" t="inlineStr">
        <is>
          <t>1.</t>
        </is>
      </c>
      <c r="Q5" t="inlineStr">
        <is>
          <t>0</t>
        </is>
      </c>
      <c r="R5" t="inlineStr">
        <is>
          <t>0.3</t>
        </is>
      </c>
      <c r="U5" t="inlineStr">
        <is>
          <t>1.</t>
        </is>
      </c>
      <c r="W5" t="inlineStr">
        <is>
          <t>3</t>
        </is>
      </c>
      <c r="X5" t="inlineStr">
        <is>
          <t>800</t>
        </is>
      </c>
      <c r="Y5" t="inlineStr">
        <is>
          <t>"notself,debris"</t>
        </is>
      </c>
      <c r="Z5" t="inlineStr">
        <is>
          <t>1</t>
        </is>
      </c>
      <c r="AA5" t="inlineStr">
        <is>
          <t>"A"</t>
        </is>
      </c>
      <c r="AB5" t="inlineStr">
        <is>
          <t>""</t>
        </is>
      </c>
      <c r="AC5" t="inlineStr">
        <is>
          <t>"unknown"</t>
        </is>
      </c>
      <c r="AD5" t="inlineStr">
        <is>
          <t>32.</t>
        </is>
      </c>
      <c r="AE5" t="inlineStr">
        <is>
          <t>2</t>
        </is>
      </c>
      <c r="AF5" t="inlineStr">
        <is>
          <t>0</t>
        </is>
      </c>
      <c r="AG5" t="inlineStr">
        <is>
          <t>100</t>
        </is>
      </c>
      <c r="AH5" t="inlineStr">
        <is>
          <t>600</t>
        </is>
      </c>
      <c r="AI5" t="inlineStr">
        <is>
          <t>100</t>
        </is>
      </c>
    </row>
    <row r="6">
      <c r="C6" t="inlineStr">
        <is>
          <t>e000</t>
        </is>
      </c>
      <c r="D6" t="inlineStr">
        <is>
          <t>"ewsp"</t>
        </is>
      </c>
      <c r="L6" t="inlineStr">
        <is>
          <t>"A"</t>
        </is>
      </c>
      <c r="M6" t="inlineStr">
        <is>
          <t>"A"</t>
        </is>
      </c>
      <c r="O6" t="inlineStr">
        <is>
          <t>"Aloc"</t>
        </is>
      </c>
      <c r="X6" t="inlineStr">
        <is>
          <t>0</t>
        </is>
      </c>
      <c r="AB6" t="inlineStr">
        <is>
          <t>""</t>
        </is>
      </c>
      <c r="AD6" t="inlineStr">
        <is>
          <t>0.</t>
        </is>
      </c>
      <c r="AH6" t="inlineStr">
        <is>
          <t>0</t>
        </is>
      </c>
      <c r="AJ6" t="inlineStr">
        <is>
          <t>""</t>
        </is>
      </c>
      <c r="AK6" t="inlineStr">
        <is>
          <t>0</t>
        </is>
      </c>
      <c r="AL6" t="inlineStr">
        <is>
          <t>""</t>
        </is>
      </c>
      <c r="AM6" t="inlineStr">
        <is>
          <t>""</t>
        </is>
      </c>
    </row>
    <row r="7">
      <c r="C7" t="inlineStr">
        <is>
          <t>e001</t>
        </is>
      </c>
      <c r="D7" t="inlineStr">
        <is>
          <t>"ewsp"</t>
        </is>
      </c>
      <c r="J7" t="inlineStr">
        <is>
          <t>"【技能】大叔大婶"</t>
        </is>
      </c>
      <c r="O7" t="inlineStr">
        <is>
          <t>"A001,Aloc"</t>
        </is>
      </c>
      <c r="X7" t="inlineStr">
        <is>
          <t>0</t>
        </is>
      </c>
      <c r="AB7" t="inlineStr">
        <is>
          <t>""</t>
        </is>
      </c>
      <c r="AD7" t="inlineStr">
        <is>
          <t>0.</t>
        </is>
      </c>
      <c r="AH7" t="inlineStr">
        <is>
          <t>0</t>
        </is>
      </c>
      <c r="AJ7" t="inlineStr">
        <is>
          <t>""</t>
        </is>
      </c>
      <c r="AK7" t="inlineStr">
        <is>
          <t>0</t>
        </is>
      </c>
      <c r="AL7" t="inlineStr">
        <is>
          <t>""</t>
        </is>
      </c>
      <c r="AM7" t="inlineStr">
        <is>
          <t>""</t>
        </is>
      </c>
      <c r="AN7" t="inlineStr">
        <is>
          <t>"war3mapImported\\[TX] (1).mdl"</t>
        </is>
      </c>
      <c r="AO7" t="inlineStr">
        <is>
          <t>3.</t>
        </is>
      </c>
    </row>
  </sheetData>
  <autoFilter ref="A2:AB217"/>
  <pageMargins left="0.7" right="0.7" top="0.75" bottom="0.75" header="0.3" footer="0.3"/>
  <pageSetup orientation="portrait" paperSize="9"/>
  <legacyDrawing r:id="anysvml"/>
</worksheet>
</file>

<file path=xl/worksheets/sheet3.xml><?xml version="1.0" encoding="utf-8"?>
<worksheet xmlns:r="http://schemas.openxmlformats.org/officeDocument/2006/relationships" xmlns="http://schemas.openxmlformats.org/spreadsheetml/2006/main">
  <sheetPr codeName="Sheet5">
    <outlinePr summaryBelow="1" summaryRight="1"/>
    <pageSetUpPr/>
  </sheetPr>
  <dimension ref="B1:AB8"/>
  <sheetViews>
    <sheetView workbookViewId="0">
      <pane ySplit="2" topLeftCell="A3" activePane="bottomLeft" state="frozen"/>
      <selection pane="bottomLeft" activeCell="B65" sqref="B65"/>
    </sheetView>
  </sheetViews>
  <sheetFormatPr baseColWidth="8" defaultRowHeight="13.5"/>
  <cols>
    <col width="23" customWidth="1" min="5" max="5"/>
    <col width="67.375" bestFit="1" customWidth="1" min="7" max="7"/>
    <col width="57" bestFit="1" customWidth="1" min="8" max="8"/>
    <col width="55.5" bestFit="1" customWidth="1" min="9" max="9"/>
  </cols>
  <sheetData>
    <row r="1">
      <c r="B1" t="inlineStr">
        <is>
          <t>类型</t>
        </is>
      </c>
      <c r="C1" t="inlineStr">
        <is>
          <t>物遍ID</t>
        </is>
      </c>
      <c r="D1" t="inlineStr">
        <is>
          <t>父对象</t>
        </is>
      </c>
      <c r="E1" t="inlineStr">
        <is>
          <t>效果 - 施法动作</t>
        </is>
      </c>
      <c r="F1" t="inlineStr">
        <is>
          <t>影响区域</t>
        </is>
      </c>
      <c r="G1" t="inlineStr">
        <is>
          <t>图标 - 普通</t>
        </is>
      </c>
      <c r="H1" t="inlineStr">
        <is>
          <t>效果 - 施法者</t>
        </is>
      </c>
      <c r="I1" t="inlineStr">
        <is>
          <t>魔法施放时间间隔</t>
        </is>
      </c>
      <c r="J1" t="inlineStr">
        <is>
          <t>魔法消耗</t>
        </is>
      </c>
      <c r="K1" t="inlineStr">
        <is>
          <t>参数A</t>
        </is>
      </c>
      <c r="L1" t="inlineStr">
        <is>
          <t>参数B</t>
        </is>
      </c>
      <c r="M1" t="inlineStr">
        <is>
          <t>参数C</t>
        </is>
      </c>
      <c r="N1" t="inlineStr">
        <is>
          <t>参数E</t>
        </is>
      </c>
      <c r="O1" t="inlineStr">
        <is>
          <t>基础命令ID</t>
        </is>
      </c>
      <c r="P1" t="inlineStr">
        <is>
          <t>效果 - 目标点</t>
        </is>
      </c>
      <c r="Q1" t="inlineStr">
        <is>
          <t>热键 - 普通</t>
        </is>
      </c>
      <c r="R1" t="inlineStr">
        <is>
          <t>施法距离</t>
        </is>
      </c>
      <c r="S1" t="inlineStr">
        <is>
          <t>效果 - 目标</t>
        </is>
      </c>
      <c r="T1" t="inlineStr">
        <is>
          <t>提示工具 - 普通</t>
        </is>
      </c>
      <c r="U1" t="inlineStr">
        <is>
          <t>提示工具 - 普通 - 扩展</t>
        </is>
      </c>
      <c r="V1" t="inlineStr">
        <is>
          <t>英雄技能</t>
        </is>
      </c>
      <c r="W1" t="inlineStr">
        <is>
          <t>等级</t>
        </is>
      </c>
      <c r="X1" t="inlineStr">
        <is>
          <t>目标允许</t>
        </is>
      </c>
      <c r="Y1" t="inlineStr">
        <is>
          <t>按钮位置 - 普通 (X)</t>
        </is>
      </c>
      <c r="Z1" t="inlineStr">
        <is>
          <t>静态对象</t>
        </is>
      </c>
      <c r="AA1" t="inlineStr">
        <is>
          <t>按钮位置 - 普通 (Y)</t>
        </is>
      </c>
      <c r="AB1" t="inlineStr">
        <is>
          <t>名字</t>
        </is>
      </c>
    </row>
    <row r="2">
      <c r="B2" t="inlineStr">
        <is>
          <t>ability</t>
        </is>
      </c>
      <c r="C2" t="inlineStr">
        <is>
          <t>ID</t>
        </is>
      </c>
      <c r="D2" t="inlineStr">
        <is>
          <t>parent</t>
        </is>
      </c>
      <c r="E2" t="inlineStr">
        <is>
          <t>Animnames</t>
        </is>
      </c>
      <c r="F2" t="inlineStr">
        <is>
          <t>Area</t>
        </is>
      </c>
      <c r="G2" t="inlineStr">
        <is>
          <t>Art</t>
        </is>
      </c>
      <c r="H2" t="inlineStr">
        <is>
          <t>CasterArt</t>
        </is>
      </c>
      <c r="I2" t="inlineStr">
        <is>
          <t>Cool</t>
        </is>
      </c>
      <c r="J2" t="inlineStr">
        <is>
          <t>Cost</t>
        </is>
      </c>
      <c r="K2" t="inlineStr">
        <is>
          <t>DataA</t>
        </is>
      </c>
      <c r="L2" t="inlineStr">
        <is>
          <t>DataB</t>
        </is>
      </c>
      <c r="M2" t="inlineStr">
        <is>
          <t>DataC</t>
        </is>
      </c>
      <c r="N2" t="inlineStr">
        <is>
          <t>DataE</t>
        </is>
      </c>
      <c r="O2" t="inlineStr">
        <is>
          <t>DataF</t>
        </is>
      </c>
      <c r="P2" t="inlineStr">
        <is>
          <t>EffectArt</t>
        </is>
      </c>
      <c r="Q2" t="inlineStr">
        <is>
          <t>Hotkey</t>
        </is>
      </c>
      <c r="R2" t="inlineStr">
        <is>
          <t>Rng</t>
        </is>
      </c>
      <c r="S2" t="inlineStr">
        <is>
          <t>TargetArt</t>
        </is>
      </c>
      <c r="T2" t="inlineStr">
        <is>
          <t>Tip</t>
        </is>
      </c>
      <c r="U2" t="inlineStr">
        <is>
          <t>Ubertip</t>
        </is>
      </c>
      <c r="V2" t="inlineStr">
        <is>
          <t>hero</t>
        </is>
      </c>
      <c r="W2" t="inlineStr">
        <is>
          <t>levels</t>
        </is>
      </c>
      <c r="X2" t="inlineStr">
        <is>
          <t>targs</t>
        </is>
      </c>
      <c r="Y2" t="inlineStr">
        <is>
          <t>Buttonpos_1</t>
        </is>
      </c>
      <c r="Z2" t="inlineStr">
        <is>
          <t>W2LObject</t>
        </is>
      </c>
      <c r="AA2" t="inlineStr">
        <is>
          <t>Buttonpos_2</t>
        </is>
      </c>
      <c r="AB2" t="inlineStr">
        <is>
          <t>Name</t>
        </is>
      </c>
    </row>
    <row r="3">
      <c r="C3" t="inlineStr">
        <is>
          <t>A000</t>
        </is>
      </c>
      <c r="D3" t="inlineStr">
        <is>
          <t>"ANcl"</t>
        </is>
      </c>
      <c r="E3" t="inlineStr">
        <is>
          <t>"spell"</t>
        </is>
      </c>
      <c r="G3" t="inlineStr">
        <is>
          <t>"ReplaceableTextures\\PassiveButtons\\PASBTNFragmentationBombs.blp"</t>
        </is>
      </c>
      <c r="H3" t="inlineStr">
        <is>
          <t>""</t>
        </is>
      </c>
      <c r="J3" t="inlineStr">
        <is>
          <t>{10, 20}</t>
        </is>
      </c>
      <c r="L3" t="inlineStr">
        <is>
          <t>{2, 3}</t>
        </is>
      </c>
      <c r="M3" t="inlineStr">
        <is>
          <t>{16, 3}</t>
        </is>
      </c>
      <c r="N3" t="inlineStr">
        <is>
          <t>{0, 0}</t>
        </is>
      </c>
      <c r="P3" t="inlineStr">
        <is>
          <t>""</t>
        </is>
      </c>
      <c r="Q3" t="inlineStr">
        <is>
          <t>"Q"</t>
        </is>
      </c>
      <c r="S3" t="inlineStr">
        <is>
          <t>""</t>
        </is>
      </c>
      <c r="U3" t="inlineStr">
        <is>
          <t>{"测试","测试2",}</t>
        </is>
      </c>
      <c r="V3" t="inlineStr">
        <is>
          <t>0</t>
        </is>
      </c>
      <c r="W3" t="inlineStr">
        <is>
          <t>2</t>
        </is>
      </c>
    </row>
    <row r="4">
      <c r="C4" t="inlineStr">
        <is>
          <t>A001</t>
        </is>
      </c>
      <c r="D4" t="inlineStr">
        <is>
          <t>"AOae"</t>
        </is>
      </c>
      <c r="K4" t="inlineStr">
        <is>
          <t>-1.</t>
        </is>
      </c>
      <c r="L4" t="inlineStr">
        <is>
          <t>0.</t>
        </is>
      </c>
      <c r="V4" t="inlineStr">
        <is>
          <t>0</t>
        </is>
      </c>
      <c r="W4" t="inlineStr">
        <is>
          <t>1</t>
        </is>
      </c>
      <c r="X4" t="inlineStr">
        <is>
          <t>"enemies"</t>
        </is>
      </c>
    </row>
    <row r="5">
      <c r="C5" t="inlineStr">
        <is>
          <t>S001</t>
        </is>
      </c>
      <c r="D5" t="inlineStr">
        <is>
          <t>"ANcl"</t>
        </is>
      </c>
      <c r="G5" t="inlineStr">
        <is>
          <t>"ReplaceableTextures\\CommandButtons\\BTNBoneChimes.blp"</t>
        </is>
      </c>
      <c r="H5" t="inlineStr">
        <is>
          <t>""</t>
        </is>
      </c>
      <c r="J5" t="inlineStr">
        <is>
          <t>{10, 20, 30}</t>
        </is>
      </c>
      <c r="M5" t="inlineStr">
        <is>
          <t>{3, 3, 3}</t>
        </is>
      </c>
      <c r="N5" t="inlineStr">
        <is>
          <t>{0, 0, 0}</t>
        </is>
      </c>
      <c r="Q5" t="inlineStr">
        <is>
          <t>"Q"</t>
        </is>
      </c>
      <c r="U5" t="inlineStr">
        <is>
          <t>{"测试|n测试","测试2|n测试2","测试2|n测试2",}</t>
        </is>
      </c>
      <c r="Y5" t="inlineStr">
        <is>
          <t>0</t>
        </is>
      </c>
      <c r="Z5" t="inlineStr">
        <is>
          <t>"static"</t>
        </is>
      </c>
    </row>
    <row r="6">
      <c r="C6" t="inlineStr">
        <is>
          <t>S002</t>
        </is>
      </c>
      <c r="D6" t="inlineStr">
        <is>
          <t>"ANcl"</t>
        </is>
      </c>
      <c r="G6" t="inlineStr">
        <is>
          <t>"ReplaceableTextures\\CommandButtons\\BTNBoneChimes.blp"</t>
        </is>
      </c>
      <c r="H6" t="inlineStr">
        <is>
          <t>""</t>
        </is>
      </c>
      <c r="J6" t="inlineStr">
        <is>
          <t>{10, 20}</t>
        </is>
      </c>
      <c r="M6" t="inlineStr">
        <is>
          <t>{3, 3}</t>
        </is>
      </c>
      <c r="N6" t="inlineStr">
        <is>
          <t>{0, 0}</t>
        </is>
      </c>
      <c r="U6" t="inlineStr">
        <is>
          <t>{"测试|n测试","测试2|n测试2",}</t>
        </is>
      </c>
      <c r="W6" t="inlineStr">
        <is>
          <t>2</t>
        </is>
      </c>
      <c r="Z6" t="inlineStr">
        <is>
          <t>"static"</t>
        </is>
      </c>
    </row>
    <row r="7">
      <c r="C7" t="inlineStr">
        <is>
          <t>S003</t>
        </is>
      </c>
      <c r="D7" t="inlineStr">
        <is>
          <t>"ANcl"</t>
        </is>
      </c>
      <c r="F7" t="inlineStr">
        <is>
          <t>900.</t>
        </is>
      </c>
      <c r="G7" t="inlineStr">
        <is>
          <t>"ReplaceableTextures\\CommandButtons\\BTNBoneChimes.blp"</t>
        </is>
      </c>
      <c r="H7" t="inlineStr">
        <is>
          <t>""</t>
        </is>
      </c>
      <c r="I7" t="inlineStr">
        <is>
          <t>60.</t>
        </is>
      </c>
      <c r="J7" t="inlineStr">
        <is>
          <t>10</t>
        </is>
      </c>
      <c r="K7" t="inlineStr">
        <is>
          <t>0.</t>
        </is>
      </c>
      <c r="M7" t="inlineStr">
        <is>
          <t>3</t>
        </is>
      </c>
      <c r="N7" t="inlineStr">
        <is>
          <t>0</t>
        </is>
      </c>
      <c r="O7" t="inlineStr">
        <is>
          <t>"absorb"</t>
        </is>
      </c>
      <c r="Q7" t="inlineStr">
        <is>
          <t>"E"</t>
        </is>
      </c>
      <c r="T7" t="inlineStr">
        <is>
          <t>"自定义技能"</t>
        </is>
      </c>
      <c r="U7" t="inlineStr">
        <is>
          <t>"测试|n测试"</t>
        </is>
      </c>
      <c r="W7" t="inlineStr">
        <is>
          <t>1</t>
        </is>
      </c>
      <c r="X7" t="inlineStr">
        <is>
          <t>"enemies"</t>
        </is>
      </c>
      <c r="Z7" t="inlineStr">
        <is>
          <t>"static"</t>
        </is>
      </c>
    </row>
    <row r="8">
      <c r="C8" t="inlineStr">
        <is>
          <t>S004</t>
        </is>
      </c>
      <c r="D8" t="inlineStr">
        <is>
          <t>"ANcl"</t>
        </is>
      </c>
      <c r="F8" t="inlineStr">
        <is>
          <t>900.</t>
        </is>
      </c>
      <c r="G8" t="inlineStr">
        <is>
          <t>"UI\\btn041.blp"</t>
        </is>
      </c>
      <c r="H8" t="inlineStr">
        <is>
          <t>""</t>
        </is>
      </c>
      <c r="I8" t="inlineStr">
        <is>
          <t>20.</t>
        </is>
      </c>
      <c r="J8" t="inlineStr">
        <is>
          <t>100</t>
        </is>
      </c>
      <c r="K8" t="inlineStr">
        <is>
          <t>0.</t>
        </is>
      </c>
      <c r="L8" t="inlineStr">
        <is>
          <t>3</t>
        </is>
      </c>
      <c r="M8" t="inlineStr">
        <is>
          <t>3</t>
        </is>
      </c>
      <c r="N8" t="inlineStr">
        <is>
          <t>0</t>
        </is>
      </c>
      <c r="O8" t="inlineStr">
        <is>
          <t>"absorb"</t>
        </is>
      </c>
      <c r="Q8" t="inlineStr">
        <is>
          <t>"Z"</t>
        </is>
      </c>
      <c r="T8" t="inlineStr">
        <is>
          <t>"深渊"</t>
        </is>
      </c>
      <c r="U8" t="inlineStr">
        <is>
          <t>"对目标区域的敌人持续造成伤害"</t>
        </is>
      </c>
      <c r="W8" t="inlineStr">
        <is>
          <t>1</t>
        </is>
      </c>
      <c r="X8" t="inlineStr">
        <is>
          <t>"enemies"</t>
        </is>
      </c>
      <c r="Y8" t="inlineStr">
        <is>
          <t>0</t>
        </is>
      </c>
      <c r="Z8" t="inlineStr">
        <is>
          <t>"static"</t>
        </is>
      </c>
      <c r="AA8" t="inlineStr">
        <is>
          <t>2</t>
        </is>
      </c>
      <c r="AB8" t="inlineStr">
        <is>
          <t>"黑洞"</t>
        </is>
      </c>
    </row>
  </sheetData>
  <dataValidations count="1">
    <dataValidation sqref="B3:B38" showErrorMessage="1" showInputMessage="1" allowBlank="0" type="list">
      <formula1>"ability,item,unit,buff,destructable,doodad,upgrade,"</formula1>
    </dataValidation>
  </dataValidations>
  <pageMargins left="0.7" right="0.7" top="0.75" bottom="0.75" header="0.3" footer="0.3"/>
  <legacyDrawing r:id="anysvml"/>
</worksheet>
</file>

<file path=xl/worksheets/sheet4.xml><?xml version="1.0" encoding="utf-8"?>
<worksheet xmlns:r="http://schemas.openxmlformats.org/officeDocument/2006/relationships" xmlns="http://schemas.openxmlformats.org/spreadsheetml/2006/main">
  <sheetPr codeName="Sheet6">
    <outlinePr summaryBelow="1" summaryRight="1"/>
    <pageSetUpPr/>
  </sheetPr>
  <dimension ref="B1:P2"/>
  <sheetViews>
    <sheetView tabSelected="1" workbookViewId="0">
      <pane ySplit="2" topLeftCell="A105" activePane="bottomLeft" state="frozen"/>
      <selection pane="bottomLeft" activeCell="A3" sqref="A3:XFD135"/>
    </sheetView>
  </sheetViews>
  <sheetFormatPr baseColWidth="8" defaultRowHeight="13.5"/>
  <cols>
    <col width="7.25" bestFit="1" customWidth="1" min="8" max="8"/>
    <col width="71" bestFit="1" customWidth="1" min="9" max="10"/>
  </cols>
  <sheetData>
    <row r="1">
      <c r="B1" t="inlineStr">
        <is>
          <t>类型</t>
        </is>
      </c>
      <c r="C1" t="inlineStr">
        <is>
          <t>物遍ID</t>
        </is>
      </c>
      <c r="D1" t="inlineStr">
        <is>
          <t>父对象</t>
        </is>
      </c>
      <c r="E1" t="inlineStr">
        <is>
          <t>图标</t>
        </is>
      </c>
      <c r="F1" t="inlineStr">
        <is>
          <t>按钮位置(X)</t>
        </is>
      </c>
      <c r="G1" t="inlineStr">
        <is>
          <t>按钮位置(Y)</t>
        </is>
      </c>
      <c r="H1" t="inlineStr">
        <is>
          <t>热键</t>
        </is>
      </c>
      <c r="I1" t="inlineStr">
        <is>
          <t>名字</t>
        </is>
      </c>
      <c r="J1" t="inlineStr">
        <is>
          <t>提示工具</t>
        </is>
      </c>
      <c r="K1" t="inlineStr">
        <is>
          <t>提示工具 - 扩展</t>
        </is>
      </c>
      <c r="L1" t="inlineStr">
        <is>
          <t>基础黄金消耗</t>
        </is>
      </c>
      <c r="M1" t="inlineStr">
        <is>
          <t>基础木材消耗</t>
        </is>
      </c>
      <c r="N1" t="inlineStr">
        <is>
          <t>基础时间消耗</t>
        </is>
      </c>
      <c r="O1" t="inlineStr">
        <is>
          <t>需求</t>
        </is>
      </c>
      <c r="P1" t="inlineStr">
        <is>
          <t>编辑器后缀</t>
        </is>
      </c>
    </row>
    <row r="2">
      <c r="B2" t="inlineStr">
        <is>
          <t>upgrade</t>
        </is>
      </c>
      <c r="C2" t="inlineStr">
        <is>
          <t>ID</t>
        </is>
      </c>
      <c r="D2" t="inlineStr">
        <is>
          <t>parent</t>
        </is>
      </c>
      <c r="E2" t="inlineStr">
        <is>
          <t>Art</t>
        </is>
      </c>
      <c r="F2" t="inlineStr">
        <is>
          <t>Buttonpos_1</t>
        </is>
      </c>
      <c r="G2" t="inlineStr">
        <is>
          <t>Buttonpos_2</t>
        </is>
      </c>
      <c r="H2" t="inlineStr">
        <is>
          <t>Hotkey</t>
        </is>
      </c>
      <c r="I2" t="inlineStr">
        <is>
          <t>Name</t>
        </is>
      </c>
      <c r="J2" t="inlineStr">
        <is>
          <t>Tip</t>
        </is>
      </c>
      <c r="K2" t="inlineStr">
        <is>
          <t>Ubertip</t>
        </is>
      </c>
      <c r="L2" t="inlineStr">
        <is>
          <t>goldbase</t>
        </is>
      </c>
      <c r="M2" t="inlineStr">
        <is>
          <t>lumberbase</t>
        </is>
      </c>
      <c r="N2" t="inlineStr">
        <is>
          <t>timebase</t>
        </is>
      </c>
      <c r="O2" t="inlineStr">
        <is>
          <t>Requires</t>
        </is>
      </c>
      <c r="P2" t="inlineStr">
        <is>
          <t>EditorSuffix</t>
        </is>
      </c>
    </row>
  </sheetData>
  <pageMargins left="0.7" right="0.7" top="0.75" bottom="0.75" header="0.3" footer="0.3"/>
  <legacyDrawing r:id="anysvml"/>
</worksheet>
</file>

<file path=xl/worksheets/sheet5.xml><?xml version="1.0" encoding="utf-8"?>
<worksheet xmlns="http://schemas.openxmlformats.org/spreadsheetml/2006/main">
  <sheetPr codeName="Sheet4">
    <outlinePr summaryBelow="1" summaryRight="1"/>
    <pageSetUpPr/>
  </sheetPr>
  <dimension ref="A1:M50"/>
  <sheetViews>
    <sheetView workbookViewId="0">
      <selection activeCell="I16" sqref="I16"/>
    </sheetView>
  </sheetViews>
  <sheetFormatPr baseColWidth="8" defaultColWidth="9" defaultRowHeight="13.5"/>
  <cols>
    <col width="61.625" bestFit="1" customWidth="1" min="11" max="11"/>
  </cols>
  <sheetData>
    <row r="1">
      <c r="A1" t="inlineStr">
        <is>
          <t>|n</t>
        </is>
      </c>
      <c r="B1" s="2" t="inlineStr">
        <is>
          <t>攻击力+</t>
        </is>
      </c>
      <c r="C1" s="2" t="inlineStr">
        <is>
          <t>防御力+</t>
        </is>
      </c>
      <c r="D1" s="2" t="inlineStr">
        <is>
          <t>全属性+</t>
        </is>
      </c>
      <c r="E1" s="2" t="inlineStr">
        <is>
          <t>生命值+</t>
        </is>
      </c>
      <c r="F1" s="2" t="inlineStr">
        <is>
          <t>吸血+</t>
        </is>
      </c>
      <c r="G1" s="2" t="inlineStr">
        <is>
          <t>暴击概率+</t>
        </is>
      </c>
      <c r="H1" s="2" t="inlineStr">
        <is>
          <t>暴击伤害+</t>
        </is>
      </c>
      <c r="I1" s="2" t="n"/>
      <c r="J1" s="2" t="n"/>
      <c r="K1" s="2" t="n"/>
      <c r="L1" s="2" t="n"/>
      <c r="M1" s="2" t="n"/>
    </row>
    <row r="2">
      <c r="A2" t="inlineStr">
        <is>
          <t>%</t>
        </is>
      </c>
      <c r="B2" s="3" t="n">
        <v>100</v>
      </c>
      <c r="C2" s="3" t="n"/>
      <c r="D2" s="3" t="n">
        <v>10</v>
      </c>
      <c r="E2" s="3" t="n"/>
      <c r="F2" s="3" t="n"/>
      <c r="G2" s="2" t="n"/>
      <c r="H2" s="2" t="n"/>
      <c r="I2" s="2" t="n"/>
      <c r="J2" s="2" t="n"/>
      <c r="K2" s="1">
        <f>CONCATENATE(IF(LEN(B2)&gt;0,$B$1&amp;B2&amp;$A$1,""),IF(LEN(C2)&gt;0,$C$1&amp;C2&amp;$A$1,""),IF(LEN(D2)&gt;0,$D$1&amp;D2&amp;$A$1,""),IF(LEN(E2)&gt;0,$E$1&amp;E2&amp;$A$1,""),IF(LEN(F2)&gt;0,$F$1&amp;F2&amp;$A$2&amp;$A$1,""),IF(LEN(G2)&gt;0,$G$1&amp;G2&amp;$A$2&amp;$A$1,""),IF(LEN(H2)&gt;0,$H$1&amp;H2&amp;$A$2&amp;$A$1,""))</f>
        <v/>
      </c>
      <c r="L2" s="2" t="n"/>
      <c r="M2" s="2" t="n"/>
    </row>
    <row r="3">
      <c r="B3" s="3" t="n"/>
      <c r="C3" s="3" t="n">
        <v>10</v>
      </c>
      <c r="D3" s="3" t="n"/>
      <c r="E3" s="3" t="n">
        <v>200</v>
      </c>
      <c r="F3" s="2" t="n"/>
      <c r="H3" s="2" t="n"/>
      <c r="I3" s="2" t="n"/>
      <c r="J3" s="2" t="n"/>
      <c r="K3" s="1">
        <f>CONCATENATE(IF(LEN(B3)&gt;0,$B$1&amp;B3&amp;$A$1,""),IF(LEN(C3)&gt;0,$C$1&amp;C3&amp;$A$1,""),IF(LEN(D3)&gt;0,$D$1&amp;D3&amp;$A$1,""),IF(LEN(E3)&gt;0,$E$1&amp;E3&amp;$A$1,""),IF(LEN(F3)&gt;0,$F$1&amp;F3&amp;$A$2&amp;$A$1,""),IF(LEN(G3)&gt;0,$G$1&amp;G3&amp;$A$2&amp;$A$1,""),IF(LEN(H3)&gt;0,$H$1&amp;H3&amp;$A$2&amp;$A$1,""))</f>
        <v/>
      </c>
      <c r="L3" s="2" t="n"/>
      <c r="M3" s="2" t="n"/>
    </row>
    <row r="4">
      <c r="B4" s="3" t="n">
        <v>100</v>
      </c>
      <c r="C4" s="3" t="n"/>
      <c r="D4" s="3" t="n">
        <v>10</v>
      </c>
      <c r="E4" s="3" t="n"/>
      <c r="F4" s="2" t="n"/>
      <c r="H4" s="2" t="n"/>
      <c r="I4" s="2" t="n"/>
      <c r="J4" s="2" t="n"/>
      <c r="K4" s="1">
        <f>CONCATENATE(IF(LEN(B4)&gt;0,$B$1&amp;B4&amp;$A$1,""),IF(LEN(C4)&gt;0,$C$1&amp;C4&amp;$A$1,""),IF(LEN(D4)&gt;0,$D$1&amp;D4&amp;$A$1,""),IF(LEN(E4)&gt;0,$E$1&amp;E4&amp;$A$1,""),IF(LEN(F4)&gt;0,$F$1&amp;F4&amp;$A$2&amp;$A$1,""),IF(LEN(G4)&gt;0,$G$1&amp;G4&amp;$A$2&amp;$A$1,""),IF(LEN(H4)&gt;0,$H$1&amp;H4&amp;$A$2&amp;$A$1,""))</f>
        <v/>
      </c>
      <c r="L4" s="2" t="n"/>
      <c r="M4" s="2" t="n"/>
    </row>
    <row r="5">
      <c r="B5" s="3" t="n">
        <v>200</v>
      </c>
      <c r="C5" s="3" t="n"/>
      <c r="D5" s="3" t="n">
        <v>20</v>
      </c>
      <c r="E5" s="3" t="n"/>
      <c r="F5" s="2" t="n"/>
      <c r="G5" s="2" t="n"/>
      <c r="H5" s="2" t="n"/>
      <c r="I5" s="2" t="n"/>
      <c r="J5" s="2" t="n"/>
      <c r="K5" s="1">
        <f>CONCATENATE(IF(LEN(B5)&gt;0,$B$1&amp;B5&amp;$A$1,""),IF(LEN(C5)&gt;0,$C$1&amp;C5&amp;$A$1,""),IF(LEN(D5)&gt;0,$D$1&amp;D5&amp;$A$1,""),IF(LEN(E5)&gt;0,$E$1&amp;E5&amp;$A$1,""),IF(LEN(F5)&gt;0,$F$1&amp;F5&amp;$A$2&amp;$A$1,""),IF(LEN(G5)&gt;0,$G$1&amp;G5&amp;$A$2&amp;$A$1,""),IF(LEN(H5)&gt;0,$H$1&amp;H5&amp;$A$2&amp;$A$1,""))</f>
        <v/>
      </c>
      <c r="L5" s="2" t="n"/>
      <c r="M5" s="2" t="n"/>
    </row>
    <row r="6">
      <c r="B6" s="3" t="n">
        <v>300</v>
      </c>
      <c r="C6" s="3" t="n"/>
      <c r="D6" s="3" t="n">
        <v>30</v>
      </c>
      <c r="E6" s="3" t="n"/>
      <c r="F6" s="2" t="n"/>
      <c r="G6" s="2" t="n"/>
      <c r="H6" s="2" t="n"/>
      <c r="I6" s="2" t="n"/>
      <c r="J6" s="2" t="n"/>
      <c r="K6" s="1">
        <f>CONCATENATE(IF(LEN(B6)&gt;0,$B$1&amp;B6&amp;$A$1,""),IF(LEN(C6)&gt;0,$C$1&amp;C6&amp;$A$1,""),IF(LEN(D6)&gt;0,$D$1&amp;D6&amp;$A$1,""),IF(LEN(E6)&gt;0,$E$1&amp;E6&amp;$A$1,""),IF(LEN(F6)&gt;0,$F$1&amp;F6&amp;$A$2&amp;$A$1,""),IF(LEN(G6)&gt;0,$G$1&amp;G6&amp;$A$2&amp;$A$1,""),IF(LEN(H6)&gt;0,$H$1&amp;H6&amp;$A$2&amp;$A$1,""))</f>
        <v/>
      </c>
      <c r="L6" s="2" t="n"/>
      <c r="M6" s="2" t="n"/>
    </row>
    <row r="7">
      <c r="B7" s="3" t="n">
        <v>400</v>
      </c>
      <c r="C7" s="3" t="n"/>
      <c r="D7" s="3" t="n">
        <v>40</v>
      </c>
      <c r="E7" s="3" t="n"/>
      <c r="F7" s="2" t="n"/>
      <c r="G7" s="2" t="n"/>
      <c r="H7" s="2" t="n"/>
      <c r="I7" s="2" t="n"/>
      <c r="J7" s="2" t="n"/>
      <c r="K7" s="1">
        <f>CONCATENATE(IF(LEN(B7)&gt;0,$B$1&amp;B7&amp;$A$1,""),IF(LEN(C7)&gt;0,$C$1&amp;C7&amp;$A$1,""),IF(LEN(D7)&gt;0,$D$1&amp;D7&amp;$A$1,""),IF(LEN(E7)&gt;0,$E$1&amp;E7&amp;$A$1,""),IF(LEN(F7)&gt;0,$F$1&amp;F7&amp;$A$2&amp;$A$1,""),IF(LEN(G7)&gt;0,$G$1&amp;G7&amp;$A$2&amp;$A$1,""),IF(LEN(H7)&gt;0,$H$1&amp;H7&amp;$A$2&amp;$A$1,""))</f>
        <v/>
      </c>
      <c r="L7" s="2" t="n"/>
      <c r="M7" s="2" t="n"/>
    </row>
    <row r="8">
      <c r="B8" s="3" t="n">
        <v>500</v>
      </c>
      <c r="C8" s="3" t="n"/>
      <c r="D8" s="3" t="n">
        <v>50</v>
      </c>
      <c r="E8" s="3" t="n"/>
      <c r="F8" s="2" t="n"/>
      <c r="G8" s="2" t="n"/>
      <c r="H8" s="2" t="n"/>
      <c r="I8" s="2" t="n"/>
      <c r="J8" s="2" t="n"/>
      <c r="K8" s="1">
        <f>CONCATENATE(IF(LEN(B8)&gt;0,$B$1&amp;B8&amp;$A$1,""),IF(LEN(C8)&gt;0,$C$1&amp;C8&amp;$A$1,""),IF(LEN(D8)&gt;0,$D$1&amp;D8&amp;$A$1,""),IF(LEN(E8)&gt;0,$E$1&amp;E8&amp;$A$1,""),IF(LEN(F8)&gt;0,$F$1&amp;F8&amp;$A$2&amp;$A$1,""),IF(LEN(G8)&gt;0,$G$1&amp;G8&amp;$A$2&amp;$A$1,""),IF(LEN(H8)&gt;0,$H$1&amp;H8&amp;$A$2&amp;$A$1,""))</f>
        <v/>
      </c>
      <c r="L8" s="2" t="n"/>
      <c r="M8" s="2" t="n"/>
    </row>
    <row r="9">
      <c r="B9" s="3" t="n">
        <v>600</v>
      </c>
      <c r="C9" s="3" t="n"/>
      <c r="D9" s="3" t="n">
        <v>100</v>
      </c>
      <c r="E9" s="3" t="n"/>
      <c r="F9" s="3" t="n"/>
      <c r="G9" s="2" t="n"/>
      <c r="H9" s="2" t="n"/>
      <c r="I9" s="2" t="n"/>
      <c r="J9" s="2" t="n"/>
      <c r="K9" s="1">
        <f>CONCATENATE(IF(LEN(B9)&gt;0,$B$1&amp;B9&amp;$A$1,""),IF(LEN(C9)&gt;0,$C$1&amp;C9&amp;$A$1,""),IF(LEN(D9)&gt;0,$D$1&amp;D9&amp;$A$1,""),IF(LEN(E9)&gt;0,$E$1&amp;E9&amp;$A$1,""),IF(LEN(F9)&gt;0,$F$1&amp;F9&amp;$A$2&amp;$A$1,""),IF(LEN(G9)&gt;0,$G$1&amp;G9&amp;$A$2&amp;$A$1,""),IF(LEN(H9)&gt;0,$H$1&amp;H9&amp;$A$2&amp;$A$1,""))</f>
        <v/>
      </c>
      <c r="L9" s="2" t="n"/>
      <c r="M9" s="2" t="n"/>
    </row>
    <row r="10">
      <c r="B10" s="3" t="n">
        <v>200</v>
      </c>
      <c r="C10" s="3" t="n"/>
      <c r="D10" s="3" t="n">
        <v>20</v>
      </c>
      <c r="E10" s="3" t="n"/>
      <c r="F10" s="3" t="n"/>
      <c r="G10" s="2" t="n"/>
      <c r="H10" s="2" t="n"/>
      <c r="I10" s="2" t="n"/>
      <c r="J10" s="2" t="n"/>
      <c r="K10" s="1">
        <f>CONCATENATE(IF(LEN(B10)&gt;0,$B$1&amp;B10&amp;$A$1,""),IF(LEN(C10)&gt;0,$C$1&amp;C10&amp;$A$1,""),IF(LEN(D10)&gt;0,$D$1&amp;D10&amp;$A$1,""),IF(LEN(E10)&gt;0,$E$1&amp;E10&amp;$A$1,""),IF(LEN(F10)&gt;0,$F$1&amp;F10&amp;$A$2&amp;$A$1,""),IF(LEN(G10)&gt;0,$G$1&amp;G10&amp;$A$2&amp;$A$1,""),IF(LEN(H10)&gt;0,$H$1&amp;H10&amp;$A$2&amp;$A$1,""))</f>
        <v/>
      </c>
      <c r="L10" s="2" t="n"/>
      <c r="M10" s="2" t="n"/>
    </row>
    <row r="11">
      <c r="B11" s="3" t="n">
        <v>300</v>
      </c>
      <c r="C11" s="3" t="n"/>
      <c r="D11" s="3" t="n">
        <v>30</v>
      </c>
      <c r="E11" s="3" t="n"/>
      <c r="F11" s="3" t="n"/>
      <c r="K11" s="1">
        <f>CONCATENATE(IF(LEN(B11)&gt;0,$B$1&amp;B11&amp;$A$1,""),IF(LEN(C11)&gt;0,$C$1&amp;C11&amp;$A$1,""),IF(LEN(D11)&gt;0,$D$1&amp;D11&amp;$A$1,""),IF(LEN(E11)&gt;0,$E$1&amp;E11&amp;$A$1,""),IF(LEN(F11)&gt;0,$F$1&amp;F11&amp;$A$2&amp;$A$1,""),IF(LEN(G11)&gt;0,$G$1&amp;G11&amp;$A$2&amp;$A$1,""),IF(LEN(H11)&gt;0,$H$1&amp;H11&amp;$A$2&amp;$A$1,""))</f>
        <v/>
      </c>
    </row>
    <row r="12">
      <c r="B12" s="3" t="n">
        <v>400</v>
      </c>
      <c r="C12" s="3" t="n"/>
      <c r="D12" s="3" t="n">
        <v>40</v>
      </c>
      <c r="E12" s="3" t="n"/>
      <c r="F12" s="3" t="n"/>
      <c r="K12" s="1">
        <f>CONCATENATE(IF(LEN(B12)&gt;0,$B$1&amp;B12&amp;$A$1,""),IF(LEN(C12)&gt;0,$C$1&amp;C12&amp;$A$1,""),IF(LEN(D12)&gt;0,$D$1&amp;D12&amp;$A$1,""),IF(LEN(E12)&gt;0,$E$1&amp;E12&amp;$A$1,""),IF(LEN(F12)&gt;0,$F$1&amp;F12&amp;$A$2&amp;$A$1,""),IF(LEN(G12)&gt;0,$G$1&amp;G12&amp;$A$2&amp;$A$1,""),IF(LEN(H12)&gt;0,$H$1&amp;H12&amp;$A$2&amp;$A$1,""))</f>
        <v/>
      </c>
    </row>
    <row r="13">
      <c r="B13" s="3" t="n">
        <v>500</v>
      </c>
      <c r="C13" s="3" t="n"/>
      <c r="D13" s="3" t="n">
        <v>50</v>
      </c>
      <c r="E13" s="3" t="n"/>
      <c r="F13" s="3" t="n"/>
      <c r="K13" s="1">
        <f>CONCATENATE(IF(LEN(B13)&gt;0,$B$1&amp;B13&amp;$A$1,""),IF(LEN(C13)&gt;0,$C$1&amp;C13&amp;$A$1,""),IF(LEN(D13)&gt;0,$D$1&amp;D13&amp;$A$1,""),IF(LEN(E13)&gt;0,$E$1&amp;E13&amp;$A$1,""),IF(LEN(F13)&gt;0,$F$1&amp;F13&amp;$A$2&amp;$A$1,""),IF(LEN(G13)&gt;0,$G$1&amp;G13&amp;$A$2&amp;$A$1,""),IF(LEN(H13)&gt;0,$H$1&amp;H13&amp;$A$2&amp;$A$1,""))</f>
        <v/>
      </c>
    </row>
    <row r="14">
      <c r="B14" s="3" t="n">
        <v>600</v>
      </c>
      <c r="C14" s="3" t="n"/>
      <c r="D14" s="3" t="n">
        <v>100</v>
      </c>
      <c r="E14" s="3" t="n"/>
      <c r="F14" s="3" t="n"/>
      <c r="K14" s="1">
        <f>CONCATENATE(IF(LEN(B14)&gt;0,$B$1&amp;B14&amp;$A$1,""),IF(LEN(C14)&gt;0,$C$1&amp;C14&amp;$A$1,""),IF(LEN(D14)&gt;0,$D$1&amp;D14&amp;$A$1,""),IF(LEN(E14)&gt;0,$E$1&amp;E14&amp;$A$1,""),IF(LEN(F14)&gt;0,$F$1&amp;F14&amp;$A$2&amp;$A$1,""),IF(LEN(G14)&gt;0,$G$1&amp;G14&amp;$A$2&amp;$A$1,""),IF(LEN(H14)&gt;0,$H$1&amp;H14&amp;$A$2&amp;$A$1,""))</f>
        <v/>
      </c>
    </row>
    <row r="15">
      <c r="B15" s="3" t="n"/>
      <c r="C15" s="3" t="n">
        <v>15</v>
      </c>
      <c r="D15" s="3" t="n"/>
      <c r="E15" s="3" t="n">
        <v>300</v>
      </c>
      <c r="F15" s="3" t="n"/>
      <c r="K15" s="1">
        <f>CONCATENATE(IF(LEN(B15)&gt;0,$B$1&amp;B15&amp;$A$1,""),IF(LEN(C15)&gt;0,$C$1&amp;C15&amp;$A$1,""),IF(LEN(D15)&gt;0,$D$1&amp;D15&amp;$A$1,""),IF(LEN(E15)&gt;0,$E$1&amp;E15&amp;$A$1,""),IF(LEN(F15)&gt;0,$F$1&amp;F15&amp;$A$2&amp;$A$1,""),IF(LEN(G15)&gt;0,$G$1&amp;G15&amp;$A$2&amp;$A$1,""),IF(LEN(H15)&gt;0,$H$1&amp;H15&amp;$A$2&amp;$A$1,""))</f>
        <v/>
      </c>
    </row>
    <row r="16">
      <c r="B16" s="3" t="n"/>
      <c r="C16" s="3" t="n">
        <v>20</v>
      </c>
      <c r="D16" s="3" t="n"/>
      <c r="E16" s="3" t="n">
        <v>500</v>
      </c>
      <c r="F16" s="3" t="n"/>
      <c r="K16" s="1">
        <f>CONCATENATE(IF(LEN(B16)&gt;0,$B$1&amp;B16&amp;$A$1,""),IF(LEN(C16)&gt;0,$C$1&amp;C16&amp;$A$1,""),IF(LEN(D16)&gt;0,$D$1&amp;D16&amp;$A$1,""),IF(LEN(E16)&gt;0,$E$1&amp;E16&amp;$A$1,""),IF(LEN(F16)&gt;0,$F$1&amp;F16&amp;$A$2&amp;$A$1,""),IF(LEN(G16)&gt;0,$G$1&amp;G16&amp;$A$2&amp;$A$1,""),IF(LEN(H16)&gt;0,$H$1&amp;H16&amp;$A$2&amp;$A$1,""))</f>
        <v/>
      </c>
    </row>
    <row r="17">
      <c r="B17" s="3" t="n"/>
      <c r="C17" s="3" t="n">
        <v>25</v>
      </c>
      <c r="D17" s="3" t="n"/>
      <c r="E17" s="3" t="n">
        <v>700</v>
      </c>
      <c r="F17" s="3" t="n"/>
      <c r="K17" s="1">
        <f>CONCATENATE(IF(LEN(B17)&gt;0,$B$1&amp;B17&amp;$A$1,""),IF(LEN(C17)&gt;0,$C$1&amp;C17&amp;$A$1,""),IF(LEN(D17)&gt;0,$D$1&amp;D17&amp;$A$1,""),IF(LEN(E17)&gt;0,$E$1&amp;E17&amp;$A$1,""),IF(LEN(F17)&gt;0,$F$1&amp;F17&amp;$A$2&amp;$A$1,""),IF(LEN(G17)&gt;0,$G$1&amp;G17&amp;$A$2&amp;$A$1,""),IF(LEN(H17)&gt;0,$H$1&amp;H17&amp;$A$2&amp;$A$1,""))</f>
        <v/>
      </c>
    </row>
    <row r="18">
      <c r="B18" s="3" t="n"/>
      <c r="C18" s="3" t="n">
        <v>30</v>
      </c>
      <c r="D18" s="3" t="n"/>
      <c r="E18" s="3" t="n">
        <v>900</v>
      </c>
      <c r="F18" s="3" t="n"/>
      <c r="K18" s="1">
        <f>CONCATENATE(IF(LEN(B18)&gt;0,$B$1&amp;B18&amp;$A$1,""),IF(LEN(C18)&gt;0,$C$1&amp;C18&amp;$A$1,""),IF(LEN(D18)&gt;0,$D$1&amp;D18&amp;$A$1,""),IF(LEN(E18)&gt;0,$E$1&amp;E18&amp;$A$1,""),IF(LEN(F18)&gt;0,$F$1&amp;F18&amp;$A$2&amp;$A$1,""),IF(LEN(G18)&gt;0,$G$1&amp;G18&amp;$A$2&amp;$A$1,""),IF(LEN(H18)&gt;0,$H$1&amp;H18&amp;$A$2&amp;$A$1,""))</f>
        <v/>
      </c>
    </row>
    <row r="19">
      <c r="B19" s="3" t="n"/>
      <c r="C19" s="3" t="n">
        <v>40</v>
      </c>
      <c r="D19" s="3" t="n"/>
      <c r="E19" s="3" t="n">
        <v>1000</v>
      </c>
      <c r="F19" s="3" t="n"/>
      <c r="K19" s="1">
        <f>CONCATENATE(IF(LEN(B19)&gt;0,$B$1&amp;B19&amp;$A$1,""),IF(LEN(C19)&gt;0,$C$1&amp;C19&amp;$A$1,""),IF(LEN(D19)&gt;0,$D$1&amp;D19&amp;$A$1,""),IF(LEN(E19)&gt;0,$E$1&amp;E19&amp;$A$1,""),IF(LEN(F19)&gt;0,$F$1&amp;F19&amp;$A$2&amp;$A$1,""),IF(LEN(G19)&gt;0,$G$1&amp;G19&amp;$A$2&amp;$A$1,""),IF(LEN(H19)&gt;0,$H$1&amp;H19&amp;$A$2&amp;$A$1,""))</f>
        <v/>
      </c>
    </row>
    <row r="20">
      <c r="B20" s="3" t="n">
        <v>1500</v>
      </c>
      <c r="C20" s="3" t="n">
        <v>50</v>
      </c>
      <c r="D20" s="3" t="n">
        <v>300</v>
      </c>
      <c r="E20" s="3" t="n">
        <v>1500</v>
      </c>
      <c r="F20" s="3" t="n"/>
      <c r="K20" s="1">
        <f>CONCATENATE(IF(LEN(B20)&gt;0,$B$1&amp;B20&amp;$A$1,""),IF(LEN(C20)&gt;0,$C$1&amp;C20&amp;$A$1,""),IF(LEN(D20)&gt;0,$D$1&amp;D20&amp;$A$1,""),IF(LEN(E20)&gt;0,$E$1&amp;E20&amp;$A$1,""),IF(LEN(F20)&gt;0,$F$1&amp;F20&amp;$A$2&amp;$A$1,""),IF(LEN(G20)&gt;0,$G$1&amp;G20&amp;$A$2&amp;$A$1,""),IF(LEN(H20)&gt;0,$H$1&amp;H20&amp;$A$2&amp;$A$1,""))</f>
        <v/>
      </c>
    </row>
    <row r="21">
      <c r="B21" s="3" t="n">
        <v>2000</v>
      </c>
      <c r="C21" s="3" t="n">
        <v>60</v>
      </c>
      <c r="D21" s="3" t="n">
        <v>400</v>
      </c>
      <c r="E21" s="3" t="n">
        <v>2000</v>
      </c>
      <c r="F21" s="3" t="n"/>
      <c r="K21" s="1">
        <f>CONCATENATE(IF(LEN(B21)&gt;0,$B$1&amp;B21&amp;$A$1,""),IF(LEN(C21)&gt;0,$C$1&amp;C21&amp;$A$1,""),IF(LEN(D21)&gt;0,$D$1&amp;D21&amp;$A$1,""),IF(LEN(E21)&gt;0,$E$1&amp;E21&amp;$A$1,""),IF(LEN(F21)&gt;0,$F$1&amp;F21&amp;$A$2&amp;$A$1,""),IF(LEN(G21)&gt;0,$G$1&amp;G21&amp;$A$2&amp;$A$1,""),IF(LEN(H21)&gt;0,$H$1&amp;H21&amp;$A$2&amp;$A$1,""))</f>
        <v/>
      </c>
    </row>
    <row r="22">
      <c r="B22" s="3" t="n">
        <v>2500</v>
      </c>
      <c r="C22" s="3" t="n">
        <v>80</v>
      </c>
      <c r="D22" s="3" t="n">
        <v>500</v>
      </c>
      <c r="E22" s="3" t="n">
        <v>3000</v>
      </c>
      <c r="F22" s="3" t="n"/>
      <c r="K22" s="1">
        <f>CONCATENATE(IF(LEN(B22)&gt;0,$B$1&amp;B22&amp;$A$1,""),IF(LEN(C22)&gt;0,$C$1&amp;C22&amp;$A$1,""),IF(LEN(D22)&gt;0,$D$1&amp;D22&amp;$A$1,""),IF(LEN(E22)&gt;0,$E$1&amp;E22&amp;$A$1,""),IF(LEN(F22)&gt;0,$F$1&amp;F22&amp;$A$2&amp;$A$1,""),IF(LEN(G22)&gt;0,$G$1&amp;G22&amp;$A$2&amp;$A$1,""),IF(LEN(H22)&gt;0,$H$1&amp;H22&amp;$A$2&amp;$A$1,""))</f>
        <v/>
      </c>
    </row>
    <row r="23">
      <c r="B23" s="3" t="n">
        <v>3000</v>
      </c>
      <c r="C23" s="3" t="n">
        <v>100</v>
      </c>
      <c r="D23" s="3" t="n">
        <v>600</v>
      </c>
      <c r="E23" s="3" t="n">
        <v>4000</v>
      </c>
      <c r="F23" s="3" t="n"/>
      <c r="K23" s="1">
        <f>CONCATENATE(IF(LEN(B23)&gt;0,$B$1&amp;B23&amp;$A$1,""),IF(LEN(C23)&gt;0,$C$1&amp;C23&amp;$A$1,""),IF(LEN(D23)&gt;0,$D$1&amp;D23&amp;$A$1,""),IF(LEN(E23)&gt;0,$E$1&amp;E23&amp;$A$1,""),IF(LEN(F23)&gt;0,$F$1&amp;F23&amp;$A$2&amp;$A$1,""),IF(LEN(G23)&gt;0,$G$1&amp;G23&amp;$A$2&amp;$A$1,""),IF(LEN(H23)&gt;0,$H$1&amp;H23&amp;$A$2&amp;$A$1,""))</f>
        <v/>
      </c>
    </row>
    <row r="24">
      <c r="B24" s="3" t="n">
        <v>5000</v>
      </c>
      <c r="C24" s="3" t="n">
        <v>150</v>
      </c>
      <c r="D24" s="3" t="n">
        <v>800</v>
      </c>
      <c r="E24" s="3" t="n">
        <v>5000</v>
      </c>
      <c r="F24" s="3" t="n"/>
      <c r="K24" s="1">
        <f>CONCATENATE(IF(LEN(B24)&gt;0,$B$1&amp;B24&amp;$A$1,""),IF(LEN(C24)&gt;0,$C$1&amp;C24&amp;$A$1,""),IF(LEN(D24)&gt;0,$D$1&amp;D24&amp;$A$1,""),IF(LEN(E24)&gt;0,$E$1&amp;E24&amp;$A$1,""),IF(LEN(F24)&gt;0,$F$1&amp;F24&amp;$A$2&amp;$A$1,""),IF(LEN(G24)&gt;0,$G$1&amp;G24&amp;$A$2&amp;$A$1,""),IF(LEN(H24)&gt;0,$H$1&amp;H24&amp;$A$2&amp;$A$1,""))</f>
        <v/>
      </c>
    </row>
    <row r="25">
      <c r="B25" s="3" t="n">
        <v>10000</v>
      </c>
      <c r="C25" s="3" t="n">
        <v>200</v>
      </c>
      <c r="D25" s="3" t="n">
        <v>1000</v>
      </c>
      <c r="E25" s="3" t="n">
        <v>8000</v>
      </c>
      <c r="F25" s="3" t="n"/>
      <c r="K25" s="1">
        <f>CONCATENATE(IF(LEN(B25)&gt;0,$B$1&amp;B25&amp;$A$1,""),IF(LEN(C25)&gt;0,$C$1&amp;C25&amp;$A$1,""),IF(LEN(D25)&gt;0,$D$1&amp;D25&amp;$A$1,""),IF(LEN(E25)&gt;0,$E$1&amp;E25&amp;$A$1,""),IF(LEN(F25)&gt;0,$F$1&amp;F25&amp;$A$2&amp;$A$1,""),IF(LEN(G25)&gt;0,$G$1&amp;G25&amp;$A$2&amp;$A$1,""),IF(LEN(H25)&gt;0,$H$1&amp;H25&amp;$A$2&amp;$A$1,""))</f>
        <v/>
      </c>
    </row>
    <row r="26">
      <c r="B26" s="3" t="n">
        <v>15000</v>
      </c>
      <c r="C26" s="3" t="n">
        <v>300</v>
      </c>
      <c r="D26" s="3" t="n">
        <v>1200</v>
      </c>
      <c r="E26" s="3" t="n">
        <v>12000</v>
      </c>
      <c r="F26" s="3" t="n"/>
      <c r="K26" s="1">
        <f>CONCATENATE(IF(LEN(B26)&gt;0,$B$1&amp;B26&amp;$A$1,""),IF(LEN(C26)&gt;0,$C$1&amp;C26&amp;$A$1,""),IF(LEN(D26)&gt;0,$D$1&amp;D26&amp;$A$1,""),IF(LEN(E26)&gt;0,$E$1&amp;E26&amp;$A$1,""),IF(LEN(F26)&gt;0,$F$1&amp;F26&amp;$A$2&amp;$A$1,""),IF(LEN(G26)&gt;0,$G$1&amp;G26&amp;$A$2&amp;$A$1,""),IF(LEN(H26)&gt;0,$H$1&amp;H26&amp;$A$2&amp;$A$1,""))</f>
        <v/>
      </c>
    </row>
    <row r="27">
      <c r="B27" s="3" t="n">
        <v>20000</v>
      </c>
      <c r="C27" s="3" t="n">
        <v>400</v>
      </c>
      <c r="D27" s="3" t="n">
        <v>1400</v>
      </c>
      <c r="E27" s="3" t="n">
        <v>14000</v>
      </c>
      <c r="F27" s="3" t="n"/>
      <c r="K27" s="1">
        <f>CONCATENATE(IF(LEN(B27)&gt;0,$B$1&amp;B27&amp;$A$1,""),IF(LEN(C27)&gt;0,$C$1&amp;C27&amp;$A$1,""),IF(LEN(D27)&gt;0,$D$1&amp;D27&amp;$A$1,""),IF(LEN(E27)&gt;0,$E$1&amp;E27&amp;$A$1,""),IF(LEN(F27)&gt;0,$F$1&amp;F27&amp;$A$2&amp;$A$1,""),IF(LEN(G27)&gt;0,$G$1&amp;G27&amp;$A$2&amp;$A$1,""),IF(LEN(H27)&gt;0,$H$1&amp;H27&amp;$A$2&amp;$A$1,""))</f>
        <v/>
      </c>
    </row>
    <row r="28">
      <c r="B28" s="3" t="n">
        <v>25000</v>
      </c>
      <c r="C28" s="3" t="n">
        <v>500</v>
      </c>
      <c r="D28" s="3" t="n">
        <v>1600</v>
      </c>
      <c r="E28" s="3" t="n">
        <v>16000</v>
      </c>
      <c r="F28" s="3" t="n"/>
      <c r="K28" s="1">
        <f>CONCATENATE(IF(LEN(B28)&gt;0,$B$1&amp;B28&amp;$A$1,""),IF(LEN(C28)&gt;0,$C$1&amp;C28&amp;$A$1,""),IF(LEN(D28)&gt;0,$D$1&amp;D28&amp;$A$1,""),IF(LEN(E28)&gt;0,$E$1&amp;E28&amp;$A$1,""),IF(LEN(F28)&gt;0,$F$1&amp;F28&amp;$A$2&amp;$A$1,""),IF(LEN(G28)&gt;0,$G$1&amp;G28&amp;$A$2&amp;$A$1,""),IF(LEN(H28)&gt;0,$H$1&amp;H28&amp;$A$2&amp;$A$1,""))</f>
        <v/>
      </c>
    </row>
    <row r="29">
      <c r="B29" s="3" t="n">
        <v>30000</v>
      </c>
      <c r="C29" s="3" t="n">
        <v>600</v>
      </c>
      <c r="D29" s="3" t="n">
        <v>1800</v>
      </c>
      <c r="E29" s="3" t="n">
        <v>18000</v>
      </c>
      <c r="F29" s="3" t="n"/>
      <c r="K29" s="1">
        <f>CONCATENATE(IF(LEN(B29)&gt;0,$B$1&amp;B29&amp;$A$1,""),IF(LEN(C29)&gt;0,$C$1&amp;C29&amp;$A$1,""),IF(LEN(D29)&gt;0,$D$1&amp;D29&amp;$A$1,""),IF(LEN(E29)&gt;0,$E$1&amp;E29&amp;$A$1,""),IF(LEN(F29)&gt;0,$F$1&amp;F29&amp;$A$2&amp;$A$1,""),IF(LEN(G29)&gt;0,$G$1&amp;G29&amp;$A$2&amp;$A$1,""),IF(LEN(H29)&gt;0,$H$1&amp;H29&amp;$A$2&amp;$A$1,""))</f>
        <v/>
      </c>
    </row>
    <row r="30">
      <c r="B30" s="3" t="n">
        <v>35000</v>
      </c>
      <c r="C30" s="3" t="n">
        <v>700</v>
      </c>
      <c r="D30" s="3" t="n">
        <v>2000</v>
      </c>
      <c r="E30" s="3" t="n">
        <v>20000</v>
      </c>
      <c r="F30" s="3" t="n"/>
      <c r="K30" s="1">
        <f>CONCATENATE(IF(LEN(B30)&gt;0,$B$1&amp;B30&amp;$A$1,""),IF(LEN(C30)&gt;0,$C$1&amp;C30&amp;$A$1,""),IF(LEN(D30)&gt;0,$D$1&amp;D30&amp;$A$1,""),IF(LEN(E30)&gt;0,$E$1&amp;E30&amp;$A$1,""),IF(LEN(F30)&gt;0,$F$1&amp;F30&amp;$A$2&amp;$A$1,""),IF(LEN(G30)&gt;0,$G$1&amp;G30&amp;$A$2&amp;$A$1,""),IF(LEN(H30)&gt;0,$H$1&amp;H30&amp;$A$2&amp;$A$1,""))</f>
        <v/>
      </c>
    </row>
    <row r="31">
      <c r="B31" s="3" t="n">
        <v>40000</v>
      </c>
      <c r="C31" s="3" t="n">
        <v>800</v>
      </c>
      <c r="D31" s="3" t="n">
        <v>2200</v>
      </c>
      <c r="E31" s="3" t="n">
        <v>25000</v>
      </c>
      <c r="F31" s="3" t="n"/>
      <c r="K31" s="1">
        <f>CONCATENATE(IF(LEN(B31)&gt;0,$B$1&amp;B31&amp;$A$1,""),IF(LEN(C31)&gt;0,$C$1&amp;C31&amp;$A$1,""),IF(LEN(D31)&gt;0,$D$1&amp;D31&amp;$A$1,""),IF(LEN(E31)&gt;0,$E$1&amp;E31&amp;$A$1,""),IF(LEN(F31)&gt;0,$F$1&amp;F31&amp;$A$2&amp;$A$1,""),IF(LEN(G31)&gt;0,$G$1&amp;G31&amp;$A$2&amp;$A$1,""),IF(LEN(H31)&gt;0,$H$1&amp;H31&amp;$A$2&amp;$A$1,""))</f>
        <v/>
      </c>
    </row>
    <row r="32">
      <c r="B32" s="3" t="n">
        <v>45000</v>
      </c>
      <c r="C32" s="3" t="n">
        <v>900</v>
      </c>
      <c r="D32" s="3" t="n">
        <v>2400</v>
      </c>
      <c r="E32" s="3" t="n">
        <v>30000</v>
      </c>
      <c r="F32" s="3" t="n"/>
      <c r="K32" s="1">
        <f>CONCATENATE(IF(LEN(B32)&gt;0,$B$1&amp;B32&amp;$A$1,""),IF(LEN(C32)&gt;0,$C$1&amp;C32&amp;$A$1,""),IF(LEN(D32)&gt;0,$D$1&amp;D32&amp;$A$1,""),IF(LEN(E32)&gt;0,$E$1&amp;E32&amp;$A$1,""),IF(LEN(F32)&gt;0,$F$1&amp;F32&amp;$A$2&amp;$A$1,""),IF(LEN(G32)&gt;0,$G$1&amp;G32&amp;$A$2&amp;$A$1,""),IF(LEN(H32)&gt;0,$H$1&amp;H32&amp;$A$2&amp;$A$1,""))</f>
        <v/>
      </c>
    </row>
    <row r="33">
      <c r="B33" s="3" t="n">
        <v>50000</v>
      </c>
      <c r="C33" s="3" t="n">
        <v>1000</v>
      </c>
      <c r="D33" s="3" t="n">
        <v>2600</v>
      </c>
      <c r="E33" s="3" t="n">
        <v>35000</v>
      </c>
      <c r="F33" s="3" t="n"/>
      <c r="K33" s="1">
        <f>CONCATENATE(IF(LEN(B33)&gt;0,$B$1&amp;B33&amp;$A$1,""),IF(LEN(C33)&gt;0,$C$1&amp;C33&amp;$A$1,""),IF(LEN(D33)&gt;0,$D$1&amp;D33&amp;$A$1,""),IF(LEN(E33)&gt;0,$E$1&amp;E33&amp;$A$1,""),IF(LEN(F33)&gt;0,$F$1&amp;F33&amp;$A$2&amp;$A$1,""),IF(LEN(G33)&gt;0,$G$1&amp;G33&amp;$A$2&amp;$A$1,""),IF(LEN(H33)&gt;0,$H$1&amp;H33&amp;$A$2&amp;$A$1,""))</f>
        <v/>
      </c>
    </row>
    <row r="34">
      <c r="B34" s="3" t="n">
        <v>60000</v>
      </c>
      <c r="C34" s="3" t="n">
        <v>1200</v>
      </c>
      <c r="D34" s="3" t="n">
        <v>3000</v>
      </c>
      <c r="E34" s="3" t="n">
        <v>40000</v>
      </c>
      <c r="F34" s="3" t="n"/>
      <c r="K34" s="1">
        <f>CONCATENATE(IF(LEN(B34)&gt;0,$B$1&amp;B34&amp;$A$1,""),IF(LEN(C34)&gt;0,$C$1&amp;C34&amp;$A$1,""),IF(LEN(D34)&gt;0,$D$1&amp;D34&amp;$A$1,""),IF(LEN(E34)&gt;0,$E$1&amp;E34&amp;$A$1,""),IF(LEN(F34)&gt;0,$F$1&amp;F34&amp;$A$2&amp;$A$1,""),IF(LEN(G34)&gt;0,$G$1&amp;G34&amp;$A$2&amp;$A$1,""),IF(LEN(H34)&gt;0,$H$1&amp;H34&amp;$A$2&amp;$A$1,""))</f>
        <v/>
      </c>
    </row>
    <row r="35">
      <c r="B35" s="3" t="n">
        <v>100000</v>
      </c>
      <c r="C35" s="3" t="n">
        <v>1500</v>
      </c>
      <c r="D35" s="3" t="n">
        <v>5000</v>
      </c>
      <c r="E35" s="3" t="n">
        <v>50000</v>
      </c>
      <c r="F35" s="3" t="n"/>
      <c r="K35" s="1">
        <f>CONCATENATE(IF(LEN(B35)&gt;0,$B$1&amp;B35&amp;$A$1,""),IF(LEN(C35)&gt;0,$C$1&amp;C35&amp;$A$1,""),IF(LEN(D35)&gt;0,$D$1&amp;D35&amp;$A$1,""),IF(LEN(E35)&gt;0,$E$1&amp;E35&amp;$A$1,""),IF(LEN(F35)&gt;0,$F$1&amp;F35&amp;$A$2&amp;$A$1,""),IF(LEN(G35)&gt;0,$G$1&amp;G35&amp;$A$2&amp;$A$1,""),IF(LEN(H35)&gt;0,$H$1&amp;H35&amp;$A$2&amp;$A$1,""))</f>
        <v/>
      </c>
    </row>
    <row r="36">
      <c r="B36" s="3" t="n">
        <v>100000</v>
      </c>
      <c r="C36" s="3" t="n">
        <v>1500</v>
      </c>
      <c r="D36" s="3" t="n">
        <v>5000</v>
      </c>
      <c r="E36" s="3" t="n">
        <v>50000</v>
      </c>
      <c r="F36" s="3" t="n"/>
      <c r="K36" s="1">
        <f>CONCATENATE(IF(LEN(B36)&gt;0,$B$1&amp;B36&amp;$A$1,""),IF(LEN(C36)&gt;0,$C$1&amp;C36&amp;$A$1,""),IF(LEN(D36)&gt;0,$D$1&amp;D36&amp;$A$1,""),IF(LEN(E36)&gt;0,$E$1&amp;E36&amp;$A$1,""),IF(LEN(F36)&gt;0,$F$1&amp;F36&amp;$A$2&amp;$A$1,""),IF(LEN(G36)&gt;0,$G$1&amp;G36&amp;$A$2&amp;$A$1,""),IF(LEN(H36)&gt;0,$H$1&amp;H36&amp;$A$2&amp;$A$1,""))</f>
        <v/>
      </c>
    </row>
    <row r="37">
      <c r="B37" s="3" t="n">
        <v>150000</v>
      </c>
      <c r="C37" s="3" t="n">
        <v>2000</v>
      </c>
      <c r="D37" s="3" t="n">
        <v>8000</v>
      </c>
      <c r="E37" s="3" t="n">
        <v>80000</v>
      </c>
      <c r="F37" s="3" t="n"/>
      <c r="K37" s="1">
        <f>CONCATENATE(IF(LEN(B37)&gt;0,$B$1&amp;B37&amp;$A$1,""),IF(LEN(C37)&gt;0,$C$1&amp;C37&amp;$A$1,""),IF(LEN(D37)&gt;0,$D$1&amp;D37&amp;$A$1,""),IF(LEN(E37)&gt;0,$E$1&amp;E37&amp;$A$1,""),IF(LEN(F37)&gt;0,$F$1&amp;F37&amp;$A$2&amp;$A$1,""),IF(LEN(G37)&gt;0,$G$1&amp;G37&amp;$A$2&amp;$A$1,""),IF(LEN(H37)&gt;0,$H$1&amp;H37&amp;$A$2&amp;$A$1,""))</f>
        <v/>
      </c>
    </row>
    <row r="38">
      <c r="B38" s="3" t="n">
        <v>200000</v>
      </c>
      <c r="C38" s="3" t="n">
        <v>3000</v>
      </c>
      <c r="D38" s="3" t="n">
        <v>14000</v>
      </c>
      <c r="E38" s="3" t="n">
        <v>130000</v>
      </c>
      <c r="F38" s="3" t="n"/>
      <c r="K38" s="1">
        <f>CONCATENATE(IF(LEN(B38)&gt;0,$B$1&amp;B38&amp;$A$1,""),IF(LEN(C38)&gt;0,$C$1&amp;C38&amp;$A$1,""),IF(LEN(D38)&gt;0,$D$1&amp;D38&amp;$A$1,""),IF(LEN(E38)&gt;0,$E$1&amp;E38&amp;$A$1,""),IF(LEN(F38)&gt;0,$F$1&amp;F38&amp;$A$2&amp;$A$1,""),IF(LEN(G38)&gt;0,$G$1&amp;G38&amp;$A$2&amp;$A$1,""),IF(LEN(H38)&gt;0,$H$1&amp;H38&amp;$A$2&amp;$A$1,""))</f>
        <v/>
      </c>
    </row>
    <row r="39">
      <c r="B39" s="3" t="n">
        <v>300000</v>
      </c>
      <c r="C39" s="3" t="n">
        <v>5000</v>
      </c>
      <c r="D39" s="3" t="n">
        <v>20000</v>
      </c>
      <c r="E39" s="3" t="n">
        <v>180000</v>
      </c>
      <c r="K39" s="1">
        <f>CONCATENATE(IF(LEN(B39)&gt;0,$B$1&amp;B39&amp;$A$1,""),IF(LEN(C39)&gt;0,$C$1&amp;C39&amp;$A$1,""),IF(LEN(D39)&gt;0,$D$1&amp;D39&amp;$A$1,""),IF(LEN(E39)&gt;0,$E$1&amp;E39&amp;$A$1,""),IF(LEN(F39)&gt;0,$F$1&amp;F39&amp;$A$2&amp;$A$1,""),IF(LEN(G39)&gt;0,$G$1&amp;G39&amp;$A$2&amp;$A$1,""),IF(LEN(H39)&gt;0,$H$1&amp;H39&amp;$A$2&amp;$A$1,""))</f>
        <v/>
      </c>
    </row>
    <row r="40">
      <c r="B40" s="3" t="n">
        <v>400000</v>
      </c>
      <c r="C40" s="3" t="n">
        <v>7000</v>
      </c>
      <c r="D40" s="3" t="n">
        <v>26000</v>
      </c>
      <c r="E40" s="3" t="n">
        <v>250000</v>
      </c>
      <c r="K40" s="1">
        <f>CONCATENATE(IF(LEN(B40)&gt;0,$B$1&amp;B40&amp;$A$1,""),IF(LEN(C40)&gt;0,$C$1&amp;C40&amp;$A$1,""),IF(LEN(D40)&gt;0,$D$1&amp;D40&amp;$A$1,""),IF(LEN(E40)&gt;0,$E$1&amp;E40&amp;$A$1,""),IF(LEN(F40)&gt;0,$F$1&amp;F40&amp;$A$2&amp;$A$1,""),IF(LEN(G40)&gt;0,$G$1&amp;G40&amp;$A$2&amp;$A$1,""),IF(LEN(H40)&gt;0,$H$1&amp;H40&amp;$A$2&amp;$A$1,""))</f>
        <v/>
      </c>
    </row>
    <row r="41">
      <c r="B41" s="3" t="n">
        <v>500000</v>
      </c>
      <c r="C41" s="3" t="n">
        <v>9000</v>
      </c>
      <c r="D41" s="3" t="n">
        <v>32000</v>
      </c>
      <c r="E41" s="3" t="n">
        <v>320000</v>
      </c>
      <c r="K41" s="1">
        <f>CONCATENATE(IF(LEN(B41)&gt;0,$B$1&amp;B41&amp;$A$1,""),IF(LEN(C41)&gt;0,$C$1&amp;C41&amp;$A$1,""),IF(LEN(D41)&gt;0,$D$1&amp;D41&amp;$A$1,""),IF(LEN(E41)&gt;0,$E$1&amp;E41&amp;$A$1,""),IF(LEN(F41)&gt;0,$F$1&amp;F41&amp;$A$2&amp;$A$1,""),IF(LEN(G41)&gt;0,$G$1&amp;G41&amp;$A$2&amp;$A$1,""),IF(LEN(H41)&gt;0,$H$1&amp;H41&amp;$A$2&amp;$A$1,""))</f>
        <v/>
      </c>
    </row>
    <row r="42">
      <c r="B42" s="3" t="n">
        <v>600000</v>
      </c>
      <c r="C42" s="3" t="n">
        <v>11000</v>
      </c>
      <c r="D42" s="3" t="n">
        <v>38000</v>
      </c>
      <c r="E42" s="3" t="n">
        <v>390000</v>
      </c>
      <c r="K42" s="1">
        <f>CONCATENATE(IF(LEN(B42)&gt;0,$B$1&amp;B42&amp;$A$1,""),IF(LEN(C42)&gt;0,$C$1&amp;C42&amp;$A$1,""),IF(LEN(D42)&gt;0,$D$1&amp;D42&amp;$A$1,""),IF(LEN(E42)&gt;0,$E$1&amp;E42&amp;$A$1,""),IF(LEN(F42)&gt;0,$F$1&amp;F42&amp;$A$2&amp;$A$1,""),IF(LEN(G42)&gt;0,$G$1&amp;G42&amp;$A$2&amp;$A$1,""),IF(LEN(H42)&gt;0,$H$1&amp;H42&amp;$A$2&amp;$A$1,""))</f>
        <v/>
      </c>
    </row>
    <row r="43">
      <c r="B43" s="3" t="n">
        <v>700000</v>
      </c>
      <c r="C43" s="3" t="n">
        <v>13000</v>
      </c>
      <c r="D43" s="3" t="n">
        <v>44000</v>
      </c>
      <c r="E43" s="3" t="n">
        <v>460000</v>
      </c>
      <c r="K43" s="1">
        <f>CONCATENATE(IF(LEN(B43)&gt;0,$B$1&amp;B43&amp;$A$1,""),IF(LEN(C43)&gt;0,$C$1&amp;C43&amp;$A$1,""),IF(LEN(D43)&gt;0,$D$1&amp;D43&amp;$A$1,""),IF(LEN(E43)&gt;0,$E$1&amp;E43&amp;$A$1,""),IF(LEN(F43)&gt;0,$F$1&amp;F43&amp;$A$2&amp;$A$1,""),IF(LEN(G43)&gt;0,$G$1&amp;G43&amp;$A$2&amp;$A$1,""),IF(LEN(H43)&gt;0,$H$1&amp;H43&amp;$A$2&amp;$A$1,""))</f>
        <v/>
      </c>
    </row>
    <row r="44">
      <c r="B44" s="3" t="n">
        <v>800000</v>
      </c>
      <c r="C44" s="3" t="n">
        <v>15000</v>
      </c>
      <c r="D44" s="3" t="n">
        <v>60000</v>
      </c>
      <c r="E44" s="3" t="n">
        <v>620000</v>
      </c>
      <c r="F44" s="3" t="n">
        <v>1</v>
      </c>
      <c r="G44" s="3" t="n">
        <v>2</v>
      </c>
      <c r="H44" s="3" t="n">
        <v>3</v>
      </c>
      <c r="K44" s="1">
        <f>CONCATENATE(IF(LEN(B44)&gt;0,$B$1&amp;B44&amp;$A$1,""),IF(LEN(C44)&gt;0,$C$1&amp;C44&amp;$A$1,""),IF(LEN(D44)&gt;0,$D$1&amp;D44&amp;$A$1,""),IF(LEN(E44)&gt;0,$E$1&amp;E44&amp;$A$1,""),IF(LEN(F44)&gt;0,$F$1&amp;F44&amp;$A$2&amp;$A$1,""),IF(LEN(G44)&gt;0,$G$1&amp;G44&amp;$A$2&amp;$A$1,""),IF(LEN(H44)&gt;0,$H$1&amp;H44&amp;$A$2&amp;$A$1,""))</f>
        <v/>
      </c>
    </row>
    <row r="45">
      <c r="B45" s="3" t="n"/>
      <c r="C45" s="3" t="n"/>
      <c r="D45" s="3" t="n"/>
      <c r="K45" s="1">
        <f>CONCATENATE(IF(LEN(B45)&gt;0,$B$1&amp;B45&amp;$A$1,""),IF(LEN(C45)&gt;0,$C$1&amp;C45&amp;$A$1,""),IF(LEN(D45)&gt;0,$D$1&amp;D45&amp;$A$1,""),IF(LEN(E45)&gt;0,$E$1&amp;E45&amp;$A$2&amp;$A$1,""),IF(LEN(F45)&gt;0,$F$1&amp;F45&amp;$A$1,""),IF(LEN(G45)&gt;0,$G$1&amp;G45&amp;$A$2&amp;$A$1,""),IF(LEN(H45)&gt;0,$H$1&amp;H45&amp;$A$2&amp;$A$1,""))</f>
        <v/>
      </c>
    </row>
    <row r="46">
      <c r="B46" s="3" t="n"/>
      <c r="C46" s="3" t="n"/>
      <c r="D46" s="3" t="n"/>
      <c r="K46" s="1">
        <f>CONCATENATE(IF(LEN(B46)&gt;0,$B$1&amp;B46&amp;$A$1,""),IF(LEN(C46)&gt;0,$C$1&amp;C46&amp;$A$1,""),IF(LEN(D46)&gt;0,$D$1&amp;D46&amp;$A$1,""),IF(LEN(E46)&gt;0,$E$1&amp;E46&amp;$A$2&amp;$A$1,""),IF(LEN(F46)&gt;0,$F$1&amp;F46&amp;$A$1,""),IF(LEN(G46)&gt;0,$G$1&amp;G46&amp;$A$2&amp;$A$1,""),IF(LEN(H46)&gt;0,$H$1&amp;H46&amp;$A$2&amp;$A$1,""))</f>
        <v/>
      </c>
    </row>
    <row r="47">
      <c r="B47" s="3" t="n"/>
      <c r="C47" s="3" t="n"/>
      <c r="D47" s="3" t="n"/>
      <c r="K47" s="1">
        <f>CONCATENATE(IF(LEN(B47)&gt;0,$B$1&amp;B47&amp;$A$1,""),IF(LEN(C47)&gt;0,$C$1&amp;C47&amp;$A$1,""),IF(LEN(D47)&gt;0,$D$1&amp;D47&amp;$A$1,""),IF(LEN(E47)&gt;0,$E$1&amp;E47&amp;$A$2&amp;$A$1,""),IF(LEN(F47)&gt;0,$F$1&amp;F47&amp;$A$1,""),IF(LEN(G47)&gt;0,$G$1&amp;G47&amp;$A$2&amp;$A$1,""),IF(LEN(H47)&gt;0,$H$1&amp;H47&amp;$A$2&amp;$A$1,""))</f>
        <v/>
      </c>
    </row>
    <row r="48">
      <c r="B48" s="3" t="n"/>
      <c r="C48" s="3" t="n"/>
      <c r="D48" s="3" t="n"/>
      <c r="K48" s="1">
        <f>CONCATENATE(IF(LEN(B48)&gt;0,$B$1&amp;B48&amp;$A$1,""),IF(LEN(C48)&gt;0,$C$1&amp;C48&amp;$A$1,""),IF(LEN(D48)&gt;0,$D$1&amp;D48&amp;$A$1,""),IF(LEN(E48)&gt;0,$E$1&amp;E48&amp;$A$2&amp;$A$1,""),IF(LEN(F48)&gt;0,$F$1&amp;F48&amp;$A$1,""),IF(LEN(G48)&gt;0,$G$1&amp;G48&amp;$A$2&amp;$A$1,""),IF(LEN(H48)&gt;0,$H$1&amp;H48&amp;$A$2&amp;$A$1,""))</f>
        <v/>
      </c>
    </row>
    <row r="49">
      <c r="B49" s="3" t="n"/>
      <c r="C49" s="3" t="n"/>
      <c r="D49" s="3" t="n"/>
      <c r="K49" s="1">
        <f>CONCATENATE(IF(LEN(B49)&gt;0,$B$1&amp;B49&amp;$A$1,""),IF(LEN(C49)&gt;0,$C$1&amp;C49&amp;$A$1,""),IF(LEN(D49)&gt;0,$D$1&amp;D49&amp;$A$1,""),IF(LEN(E49)&gt;0,$E$1&amp;E49&amp;$A$2&amp;$A$1,""),IF(LEN(F49)&gt;0,$F$1&amp;F49&amp;$A$1,""),IF(LEN(G49)&gt;0,$G$1&amp;G49&amp;$A$2&amp;$A$1,""),IF(LEN(H49)&gt;0,$H$1&amp;H49&amp;$A$2&amp;$A$1,""))</f>
        <v/>
      </c>
    </row>
    <row r="50">
      <c r="B50" s="3" t="n"/>
      <c r="C50" s="3" t="n"/>
      <c r="D50" s="3" t="n"/>
      <c r="K50" s="1">
        <f>CONCATENATE(IF(LEN(B50)&gt;0,$B$1&amp;B50&amp;$A$1,""),IF(LEN(C50)&gt;0,$C$1&amp;C50&amp;$A$1,""),IF(LEN(D50)&gt;0,$D$1&amp;D50&amp;$A$1,""),IF(LEN(E50)&gt;0,$E$1&amp;E50&amp;$A$2&amp;$A$1,""),IF(LEN(F50)&gt;0,$F$1&amp;F50&amp;$A$1,""),IF(LEN(G50)&gt;0,$G$1&amp;G50&amp;$A$2&amp;$A$1,""),IF(LEN(H50)&gt;0,$H$1&amp;H50&amp;$A$2&amp;$A$1,""))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7">
    <outlinePr summaryBelow="1" summaryRight="1"/>
    <pageSetUpPr/>
  </sheetPr>
  <dimension ref="A1:A1"/>
  <sheetViews>
    <sheetView workbookViewId="0">
      <selection activeCell="E7" sqref="E7"/>
    </sheetView>
  </sheetViews>
  <sheetFormatPr baseColWidth="8" defaultRowHeight="13.5"/>
  <cols>
    <col width="18.25" customWidth="1" min="3" max="3"/>
  </cols>
  <sheetData/>
  <pageMargins left="0.7" right="0.7" top="0.75" bottom="0.75" header="0.3" footer="0.3"/>
  <pageSetup orientation="portrait" paperSize="9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木叶大佬</dc:creator>
  <dcterms:created xsi:type="dcterms:W3CDTF">2015-06-05T18:19:00Z</dcterms:created>
  <dcterms:modified xsi:type="dcterms:W3CDTF">2020-09-17T08:52:47Z</dcterms:modified>
  <cp:lastModifiedBy>xb21cn</cp:lastModifiedBy>
</cp:coreProperties>
</file>