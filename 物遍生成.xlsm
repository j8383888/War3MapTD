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gram\War3MapTD\"/>
    </mc:Choice>
  </mc:AlternateContent>
  <bookViews>
    <workbookView xWindow="0" yWindow="0" windowWidth="21570" windowHeight="7995"/>
  </bookViews>
  <sheets>
    <sheet name="Start" sheetId="4" r:id="rId1"/>
    <sheet name="技能" sheetId="1" r:id="rId2"/>
    <sheet name="单位" sheetId="5" r:id="rId3"/>
  </sheets>
  <functionGroups builtInGroupCount="18"/>
  <calcPr calcId="162913"/>
</workbook>
</file>

<file path=xl/calcChain.xml><?xml version="1.0" encoding="utf-8"?>
<calcChain xmlns="http://schemas.openxmlformats.org/spreadsheetml/2006/main">
  <c r="D5" i="1" l="1"/>
  <c r="D4" i="1"/>
  <c r="D3" i="1"/>
  <c r="D4" i="5"/>
  <c r="D7" i="5"/>
  <c r="D11" i="5"/>
  <c r="D15" i="5"/>
  <c r="D8" i="5"/>
  <c r="D12" i="5"/>
  <c r="D5" i="5"/>
  <c r="D9" i="5"/>
  <c r="D13" i="5"/>
  <c r="D6" i="5"/>
  <c r="D10" i="5"/>
  <c r="D14" i="5"/>
  <c r="D16" i="5"/>
  <c r="D17" i="5"/>
</calcChain>
</file>

<file path=xl/comments1.xml><?xml version="1.0" encoding="utf-8"?>
<comments xmlns="http://schemas.openxmlformats.org/spreadsheetml/2006/main">
  <authors>
    <author>Administrator</author>
  </authors>
  <commentList>
    <comment ref="V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通魔:释放持续时间</t>
        </r>
      </text>
    </comment>
    <comment ref="W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通魔:释放持续时间</t>
        </r>
      </text>
    </comment>
    <comment ref="X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通魔:释放持续时间</t>
        </r>
      </text>
    </comment>
    <comment ref="Y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通魔：目标类型
0：无目标
1：单位目标
2：点目标
3：单位或点目标</t>
        </r>
      </text>
    </comment>
    <comment ref="Z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通魔：目标类型
0：无目标
1：单位目标
2：点目标
3：单位或点目标</t>
        </r>
      </text>
    </comment>
    <comment ref="AA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通魔：目标类型
0：无目标
1：单位目标
2：点目标
3：单位或点目标</t>
        </r>
      </text>
    </comment>
    <comment ref="AB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通魔：
1：图标可见
2：目标选取图像
4：物理魔法
8：通用魔法
16：单独释放
注意：加法计算（可同时勾选）</t>
        </r>
      </text>
    </comment>
    <comment ref="AC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通魔：
1：图标可见
2：目标选取图像
4：物理魔法
8：通用魔法
16：单独释放
注意：加法计算（可同时勾选）</t>
        </r>
      </text>
    </comment>
    <comment ref="AD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通魔：
1：图标可见
2：目标选取图像
4：物理魔法
8：通用魔法
16：单独释放
注意：加法计算（可同时勾选）</t>
        </r>
      </text>
    </comment>
    <comment ref="AE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动作持续时间
</t>
        </r>
      </text>
    </comment>
    <comment ref="AF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动作持续时间
</t>
        </r>
      </text>
    </comment>
    <comment ref="AG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动作持续时间
</t>
        </r>
      </text>
    </comment>
    <comment ref="AH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使其他技能无效
</t>
        </r>
      </text>
    </comment>
    <comment ref="AI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使其他技能无效
</t>
        </r>
      </text>
    </comment>
    <comment ref="AJ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使其他技能无效
</t>
        </r>
      </text>
    </comment>
    <comment ref="AK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命令串（注意同一个单位身上不能有两个命令串相同的技能）
</t>
        </r>
      </text>
    </comment>
    <comment ref="AL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命令串（注意同一个单位身上不能有两个命令串相同的技能）
</t>
        </r>
      </text>
    </comment>
    <comment ref="AM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命令串（注意同一个单位身上不能有两个命令串相同的技能）
</t>
        </r>
      </text>
    </comment>
  </commentList>
</comments>
</file>

<file path=xl/sharedStrings.xml><?xml version="1.0" encoding="utf-8"?>
<sst xmlns="http://schemas.openxmlformats.org/spreadsheetml/2006/main" count="512" uniqueCount="204">
  <si>
    <t>类型</t>
    <phoneticPr fontId="1" type="noConversion"/>
  </si>
  <si>
    <t>A</t>
  </si>
  <si>
    <t>Ubertip</t>
  </si>
  <si>
    <t>unit</t>
  </si>
  <si>
    <t>类型</t>
  </si>
  <si>
    <t>模板</t>
  </si>
  <si>
    <t>ID</t>
  </si>
  <si>
    <t>collision</t>
  </si>
  <si>
    <t>Propernames</t>
  </si>
  <si>
    <t>nameCount</t>
  </si>
  <si>
    <t>Tip</t>
  </si>
  <si>
    <t>file</t>
  </si>
  <si>
    <t>scale</t>
  </si>
  <si>
    <t>Art</t>
  </si>
  <si>
    <t>Specialart</t>
  </si>
  <si>
    <t>movetp</t>
  </si>
  <si>
    <t>moveHeight</t>
  </si>
  <si>
    <t>spd</t>
  </si>
  <si>
    <t>turnRate</t>
  </si>
  <si>
    <t>deathType</t>
  </si>
  <si>
    <t>mana0</t>
  </si>
  <si>
    <t>HP</t>
  </si>
  <si>
    <t>regenHP</t>
  </si>
  <si>
    <t>regenType</t>
  </si>
  <si>
    <t>sight</t>
  </si>
  <si>
    <t>nsight</t>
  </si>
  <si>
    <t>STR</t>
  </si>
  <si>
    <t>AGI</t>
  </si>
  <si>
    <t>INT</t>
  </si>
  <si>
    <t>STRplus</t>
  </si>
  <si>
    <t>AGIplus</t>
  </si>
  <si>
    <t>INTplus</t>
  </si>
  <si>
    <t>Primary</t>
  </si>
  <si>
    <t>weapsOn</t>
  </si>
  <si>
    <t>Missileart</t>
  </si>
  <si>
    <t>Missilespeed</t>
  </si>
  <si>
    <t>atkType1</t>
  </si>
  <si>
    <t>weapTp1</t>
  </si>
  <si>
    <t>targgs1</t>
  </si>
  <si>
    <t>dmgpt1</t>
  </si>
  <si>
    <t>rangeN1</t>
  </si>
  <si>
    <t>RngBuff1</t>
  </si>
  <si>
    <t>dmgplus1</t>
  </si>
  <si>
    <t>sides1</t>
  </si>
  <si>
    <t>dice1</t>
  </si>
  <si>
    <t>splashTargs1</t>
  </si>
  <si>
    <t>cool1</t>
  </si>
  <si>
    <t>hfoo</t>
  </si>
  <si>
    <t>测试</t>
  </si>
  <si>
    <t>#</t>
  </si>
  <si>
    <t>B</t>
  </si>
  <si>
    <t>units\human\Footman\Footman</t>
  </si>
  <si>
    <t>foot</t>
  </si>
  <si>
    <t>always</t>
  </si>
  <si>
    <t>Abilities\Spells\Other\Tornado\TornadoElemental.mdl</t>
  </si>
  <si>
    <t>hero</t>
  </si>
  <si>
    <t>normal</t>
  </si>
  <si>
    <t>ground,structure,debris,item,ward</t>
  </si>
  <si>
    <t>notself,debris</t>
  </si>
  <si>
    <t>阿巴巴</t>
  </si>
  <si>
    <t>哥兰尼斯-闇锤,卓尔-忏悔者</t>
  </si>
  <si>
    <t>L</t>
  </si>
  <si>
    <t>units\human\HeroPaladin\HeroPaladin</t>
  </si>
  <si>
    <t>ReplaceableTextures\CommandButtons\BTNHeroPaladin.blp</t>
  </si>
  <si>
    <t>Objects\Spawnmodels\Human\HumanLargeDeathExplode\HumanLargeDeathExplode.mdl</t>
  </si>
  <si>
    <t>Name</t>
    <phoneticPr fontId="1" type="noConversion"/>
  </si>
  <si>
    <t>Hotkey</t>
    <phoneticPr fontId="1" type="noConversion"/>
  </si>
  <si>
    <t>模板</t>
    <phoneticPr fontId="1" type="noConversion"/>
  </si>
  <si>
    <t>ID</t>
    <phoneticPr fontId="1" type="noConversion"/>
  </si>
  <si>
    <t>名字</t>
    <phoneticPr fontId="1" type="noConversion"/>
  </si>
  <si>
    <t>热键</t>
    <phoneticPr fontId="1" type="noConversion"/>
  </si>
  <si>
    <t>提示工具 - 普通</t>
    <phoneticPr fontId="1" type="noConversion"/>
  </si>
  <si>
    <t>图标 - 普通</t>
    <phoneticPr fontId="1" type="noConversion"/>
  </si>
  <si>
    <r>
      <t>提示工具</t>
    </r>
    <r>
      <rPr>
        <sz val="11"/>
        <rFont val="Consolas"/>
        <family val="3"/>
      </rPr>
      <t> - </t>
    </r>
    <r>
      <rPr>
        <sz val="11"/>
        <rFont val="宋体"/>
        <family val="3"/>
        <charset val="134"/>
      </rPr>
      <t>扩展</t>
    </r>
    <phoneticPr fontId="1" type="noConversion"/>
  </si>
  <si>
    <t>目标允许</t>
    <phoneticPr fontId="1" type="noConversion"/>
  </si>
  <si>
    <t>魔法消耗</t>
    <phoneticPr fontId="1" type="noConversion"/>
  </si>
  <si>
    <r>
      <rPr>
        <sz val="11"/>
        <color theme="1"/>
        <rFont val="宋体"/>
        <family val="3"/>
        <charset val="134"/>
      </rPr>
      <t>数据</t>
    </r>
    <r>
      <rPr>
        <sz val="11"/>
        <color theme="1"/>
        <rFont val="Tahoma"/>
        <family val="2"/>
        <charset val="134"/>
      </rPr>
      <t>1</t>
    </r>
    <phoneticPr fontId="1" type="noConversion"/>
  </si>
  <si>
    <t>类型</t>
    <phoneticPr fontId="1" type="noConversion"/>
  </si>
  <si>
    <t>模板</t>
    <phoneticPr fontId="1" type="noConversion"/>
  </si>
  <si>
    <t>Name</t>
    <phoneticPr fontId="1" type="noConversion"/>
  </si>
  <si>
    <t>Hotkey</t>
    <phoneticPr fontId="1" type="noConversion"/>
  </si>
  <si>
    <t>ability</t>
    <phoneticPr fontId="1" type="noConversion"/>
  </si>
  <si>
    <t>ReplaceableTextures\CommandButtons\BTNBoneChimes.blp</t>
    <phoneticPr fontId="1" type="noConversion"/>
  </si>
  <si>
    <t>ANcl</t>
    <phoneticPr fontId="1" type="noConversion"/>
  </si>
  <si>
    <t>ANcl</t>
    <phoneticPr fontId="1" type="noConversion"/>
  </si>
  <si>
    <t>levels</t>
  </si>
  <si>
    <t>通魔</t>
    <phoneticPr fontId="1" type="noConversion"/>
  </si>
  <si>
    <t>#</t>
    <phoneticPr fontId="1" type="noConversion"/>
  </si>
  <si>
    <t>等级</t>
    <phoneticPr fontId="1" type="noConversion"/>
  </si>
  <si>
    <t>数据2</t>
    <phoneticPr fontId="1" type="noConversion"/>
  </si>
  <si>
    <t>Art</t>
    <phoneticPr fontId="1" type="noConversion"/>
  </si>
  <si>
    <t>CasterArt</t>
    <phoneticPr fontId="1" type="noConversion"/>
  </si>
  <si>
    <t>效果 - 施法者</t>
    <phoneticPr fontId="1" type="noConversion"/>
  </si>
  <si>
    <t>数据3</t>
    <phoneticPr fontId="1" type="noConversion"/>
  </si>
  <si>
    <t>魔法施放时间间隔</t>
    <phoneticPr fontId="1" type="noConversion"/>
  </si>
  <si>
    <r>
      <rPr>
        <sz val="11"/>
        <rFont val="宋体"/>
        <family val="3"/>
        <charset val="134"/>
      </rPr>
      <t>测试
测试</t>
    </r>
    <r>
      <rPr>
        <sz val="11"/>
        <rFont val="Tahoma"/>
        <family val="2"/>
        <charset val="134"/>
      </rPr>
      <t/>
    </r>
    <phoneticPr fontId="1" type="noConversion"/>
  </si>
  <si>
    <r>
      <rPr>
        <sz val="11"/>
        <rFont val="宋体"/>
        <family val="3"/>
        <charset val="134"/>
      </rPr>
      <t>测试</t>
    </r>
    <r>
      <rPr>
        <sz val="11"/>
        <rFont val="Tahoma"/>
        <family val="2"/>
        <charset val="134"/>
      </rPr>
      <t xml:space="preserve">2
</t>
    </r>
    <r>
      <rPr>
        <sz val="11"/>
        <rFont val="宋体"/>
        <family val="3"/>
        <charset val="134"/>
      </rPr>
      <t>测试</t>
    </r>
    <r>
      <rPr>
        <sz val="11"/>
        <rFont val="Tahoma"/>
        <family val="2"/>
        <charset val="134"/>
      </rPr>
      <t>2</t>
    </r>
    <phoneticPr fontId="1" type="noConversion"/>
  </si>
  <si>
    <t>Tip1</t>
    <phoneticPr fontId="1" type="noConversion"/>
  </si>
  <si>
    <t>Tip2</t>
    <phoneticPr fontId="1" type="noConversion"/>
  </si>
  <si>
    <t>Ubertip1</t>
    <phoneticPr fontId="1" type="noConversion"/>
  </si>
  <si>
    <t>Ubertip2</t>
    <phoneticPr fontId="1" type="noConversion"/>
  </si>
  <si>
    <t>测试
测试</t>
    <phoneticPr fontId="1" type="noConversion"/>
  </si>
  <si>
    <t>自定义技能</t>
    <phoneticPr fontId="1" type="noConversion"/>
  </si>
  <si>
    <t>#</t>
    <phoneticPr fontId="1" type="noConversion"/>
  </si>
  <si>
    <t>Tip3</t>
    <phoneticPr fontId="1" type="noConversion"/>
  </si>
  <si>
    <t>Ubertip3</t>
    <phoneticPr fontId="1" type="noConversion"/>
  </si>
  <si>
    <t>targs1</t>
    <phoneticPr fontId="1" type="noConversion"/>
  </si>
  <si>
    <t>targs2</t>
    <phoneticPr fontId="1" type="noConversion"/>
  </si>
  <si>
    <t>targs3</t>
    <phoneticPr fontId="1" type="noConversion"/>
  </si>
  <si>
    <t>enemies</t>
    <phoneticPr fontId="1" type="noConversion"/>
  </si>
  <si>
    <t>Cost1</t>
    <phoneticPr fontId="1" type="noConversion"/>
  </si>
  <si>
    <t>DataA1</t>
    <phoneticPr fontId="1" type="noConversion"/>
  </si>
  <si>
    <t>Cost2</t>
    <phoneticPr fontId="1" type="noConversion"/>
  </si>
  <si>
    <t>Cost3</t>
    <phoneticPr fontId="1" type="noConversion"/>
  </si>
  <si>
    <t>DataA2</t>
    <phoneticPr fontId="1" type="noConversion"/>
  </si>
  <si>
    <t>DataA3</t>
    <phoneticPr fontId="1" type="noConversion"/>
  </si>
  <si>
    <t>DataB1</t>
    <phoneticPr fontId="1" type="noConversion"/>
  </si>
  <si>
    <t>DataB2</t>
    <phoneticPr fontId="1" type="noConversion"/>
  </si>
  <si>
    <t>DataB3</t>
    <phoneticPr fontId="1" type="noConversion"/>
  </si>
  <si>
    <t>Cool1</t>
    <phoneticPr fontId="1" type="noConversion"/>
  </si>
  <si>
    <t>DataC1</t>
    <phoneticPr fontId="1" type="noConversion"/>
  </si>
  <si>
    <t>DataC2</t>
    <phoneticPr fontId="1" type="noConversion"/>
  </si>
  <si>
    <t>DataC3</t>
    <phoneticPr fontId="1" type="noConversion"/>
  </si>
  <si>
    <t>DataF1</t>
    <phoneticPr fontId="1" type="noConversion"/>
  </si>
  <si>
    <t>DataF2</t>
    <phoneticPr fontId="1" type="noConversion"/>
  </si>
  <si>
    <t>DataF3</t>
    <phoneticPr fontId="1" type="noConversion"/>
  </si>
  <si>
    <t>absorb</t>
  </si>
  <si>
    <r>
      <rPr>
        <sz val="11"/>
        <rFont val="宋体"/>
        <family val="3"/>
        <charset val="134"/>
      </rPr>
      <t>数据</t>
    </r>
    <r>
      <rPr>
        <sz val="11"/>
        <rFont val="Tahoma"/>
        <family val="2"/>
        <charset val="134"/>
      </rPr>
      <t>6</t>
    </r>
    <phoneticPr fontId="1" type="noConversion"/>
  </si>
  <si>
    <t>数据4</t>
    <phoneticPr fontId="1" type="noConversion"/>
  </si>
  <si>
    <t>DataD1</t>
    <phoneticPr fontId="1" type="noConversion"/>
  </si>
  <si>
    <r>
      <rPr>
        <sz val="11"/>
        <rFont val="宋体"/>
        <family val="3"/>
        <charset val="134"/>
      </rPr>
      <t>测试</t>
    </r>
    <r>
      <rPr>
        <sz val="11"/>
        <rFont val="Tahoma"/>
        <family val="2"/>
        <charset val="134"/>
      </rPr>
      <t xml:space="preserve">2
</t>
    </r>
    <r>
      <rPr>
        <sz val="11"/>
        <rFont val="宋体"/>
        <family val="3"/>
        <charset val="134"/>
      </rPr>
      <t>测试</t>
    </r>
    <r>
      <rPr>
        <sz val="11"/>
        <rFont val="Tahoma"/>
        <family val="2"/>
        <charset val="134"/>
      </rPr>
      <t>2</t>
    </r>
    <phoneticPr fontId="1" type="noConversion"/>
  </si>
  <si>
    <t>数据5</t>
    <phoneticPr fontId="1" type="noConversion"/>
  </si>
  <si>
    <t>DataE1</t>
    <phoneticPr fontId="1" type="noConversion"/>
  </si>
  <si>
    <t>DataE2</t>
    <phoneticPr fontId="1" type="noConversion"/>
  </si>
  <si>
    <t>DataE3</t>
    <phoneticPr fontId="1" type="noConversion"/>
  </si>
  <si>
    <t>DataD3</t>
    <phoneticPr fontId="1" type="noConversion"/>
  </si>
  <si>
    <t>DataD2</t>
    <phoneticPr fontId="1" type="noConversion"/>
  </si>
  <si>
    <t>目标允许</t>
    <phoneticPr fontId="1" type="noConversion"/>
  </si>
  <si>
    <t>E</t>
    <phoneticPr fontId="1" type="noConversion"/>
  </si>
  <si>
    <t>名字</t>
    <phoneticPr fontId="1" type="noConversion"/>
  </si>
  <si>
    <t>技能</t>
    <phoneticPr fontId="1" type="noConversion"/>
  </si>
  <si>
    <t>英雄技能</t>
    <phoneticPr fontId="1" type="noConversion"/>
  </si>
  <si>
    <t>碰撞体积</t>
    <phoneticPr fontId="1" type="noConversion"/>
  </si>
  <si>
    <t>名称</t>
    <phoneticPr fontId="1" type="noConversion"/>
  </si>
  <si>
    <t>A</t>
    <phoneticPr fontId="1" type="noConversion"/>
  </si>
  <si>
    <t>A</t>
    <phoneticPr fontId="1" type="noConversion"/>
  </si>
  <si>
    <t>#</t>
    <phoneticPr fontId="1" type="noConversion"/>
  </si>
  <si>
    <t>敏捷</t>
    <phoneticPr fontId="1" type="noConversion"/>
  </si>
  <si>
    <t>智力</t>
    <phoneticPr fontId="1" type="noConversion"/>
  </si>
  <si>
    <t>力量</t>
    <phoneticPr fontId="1" type="noConversion"/>
  </si>
  <si>
    <t>每级力量加成</t>
    <phoneticPr fontId="1" type="noConversion"/>
  </si>
  <si>
    <t>每级敏捷加成</t>
    <phoneticPr fontId="1" type="noConversion"/>
  </si>
  <si>
    <t>每级智力加成</t>
    <phoneticPr fontId="1" type="noConversion"/>
  </si>
  <si>
    <t>主属性</t>
    <phoneticPr fontId="1" type="noConversion"/>
  </si>
  <si>
    <t>称谓数量</t>
    <phoneticPr fontId="1" type="noConversion"/>
  </si>
  <si>
    <t>热键</t>
    <phoneticPr fontId="1" type="noConversion"/>
  </si>
  <si>
    <t>提示工具 - 扩展</t>
    <phoneticPr fontId="1" type="noConversion"/>
  </si>
  <si>
    <t>模型路径</t>
    <phoneticPr fontId="1" type="noConversion"/>
  </si>
  <si>
    <t>模型缩放</t>
    <phoneticPr fontId="1" type="noConversion"/>
  </si>
  <si>
    <t>图标</t>
    <phoneticPr fontId="1" type="noConversion"/>
  </si>
  <si>
    <t>死亡效果</t>
    <phoneticPr fontId="1" type="noConversion"/>
  </si>
  <si>
    <t>移动类型</t>
    <phoneticPr fontId="1" type="noConversion"/>
  </si>
  <si>
    <t>移动高度</t>
    <phoneticPr fontId="1" type="noConversion"/>
  </si>
  <si>
    <t>移动速度</t>
    <phoneticPr fontId="1" type="noConversion"/>
  </si>
  <si>
    <t>转向速度</t>
    <phoneticPr fontId="1" type="noConversion"/>
  </si>
  <si>
    <t>死亡类型</t>
    <phoneticPr fontId="1" type="noConversion"/>
  </si>
  <si>
    <t>regenMana</t>
    <phoneticPr fontId="1" type="noConversion"/>
  </si>
  <si>
    <t>魔法恢复</t>
    <phoneticPr fontId="1" type="noConversion"/>
  </si>
  <si>
    <t>魔法初始值</t>
    <phoneticPr fontId="1" type="noConversion"/>
  </si>
  <si>
    <t>生命最大值</t>
    <phoneticPr fontId="1" type="noConversion"/>
  </si>
  <si>
    <t>生命恢复速度</t>
    <phoneticPr fontId="1" type="noConversion"/>
  </si>
  <si>
    <t>生命恢复类型</t>
    <phoneticPr fontId="1" type="noConversion"/>
  </si>
  <si>
    <t>视野范围（白天）</t>
    <phoneticPr fontId="1" type="noConversion"/>
  </si>
  <si>
    <t>视野范围（黑夜）</t>
    <phoneticPr fontId="1" type="noConversion"/>
  </si>
  <si>
    <t>允许攻击模式</t>
    <phoneticPr fontId="1" type="noConversion"/>
  </si>
  <si>
    <t>投射物</t>
    <phoneticPr fontId="1" type="noConversion"/>
  </si>
  <si>
    <t>投射速度</t>
    <phoneticPr fontId="1" type="noConversion"/>
  </si>
  <si>
    <t>攻击类型</t>
    <phoneticPr fontId="1" type="noConversion"/>
  </si>
  <si>
    <t>unknown</t>
    <phoneticPr fontId="1" type="noConversion"/>
  </si>
  <si>
    <t>武器类型</t>
    <phoneticPr fontId="1" type="noConversion"/>
  </si>
  <si>
    <t>目标允许</t>
    <phoneticPr fontId="1" type="noConversion"/>
  </si>
  <si>
    <t>bakSw1</t>
    <phoneticPr fontId="1" type="noConversion"/>
  </si>
  <si>
    <t>攻击后摇</t>
    <phoneticPr fontId="1" type="noConversion"/>
  </si>
  <si>
    <t>攻击前摇</t>
    <phoneticPr fontId="1" type="noConversion"/>
  </si>
  <si>
    <t>攻击范围</t>
    <phoneticPr fontId="1" type="noConversion"/>
  </si>
  <si>
    <t>攻击范围缓冲</t>
    <phoneticPr fontId="1" type="noConversion"/>
  </si>
  <si>
    <t>基础伤害</t>
    <phoneticPr fontId="1" type="noConversion"/>
  </si>
  <si>
    <t>伤害骰子面数</t>
    <phoneticPr fontId="1" type="noConversion"/>
  </si>
  <si>
    <t>伤害骰子数量</t>
    <phoneticPr fontId="1" type="noConversion"/>
  </si>
  <si>
    <t>范围影响目标</t>
    <phoneticPr fontId="1" type="noConversion"/>
  </si>
  <si>
    <t>攻击间隔</t>
    <phoneticPr fontId="1" type="noConversion"/>
  </si>
  <si>
    <t>Hpal</t>
    <phoneticPr fontId="1" type="noConversion"/>
  </si>
  <si>
    <t>heroAbilList</t>
  </si>
  <si>
    <t>abilList</t>
    <phoneticPr fontId="1" type="noConversion"/>
  </si>
  <si>
    <t>Q</t>
    <phoneticPr fontId="1" type="noConversion"/>
  </si>
  <si>
    <t>h001</t>
    <phoneticPr fontId="1" type="noConversion"/>
  </si>
  <si>
    <t>ID</t>
    <phoneticPr fontId="1" type="noConversion"/>
  </si>
  <si>
    <r>
      <t>ID(10</t>
    </r>
    <r>
      <rPr>
        <sz val="11"/>
        <color theme="1"/>
        <rFont val="宋体"/>
        <family val="3"/>
        <charset val="134"/>
      </rPr>
      <t>进制</t>
    </r>
    <r>
      <rPr>
        <sz val="11"/>
        <color theme="1"/>
        <rFont val="Tahoma"/>
        <family val="2"/>
      </rPr>
      <t>)</t>
    </r>
    <phoneticPr fontId="1" type="noConversion"/>
  </si>
  <si>
    <t>ID(36进制)</t>
    <phoneticPr fontId="1" type="noConversion"/>
  </si>
  <si>
    <t>ID（36进制）</t>
    <phoneticPr fontId="1" type="noConversion"/>
  </si>
  <si>
    <t>ID（10进制）</t>
    <phoneticPr fontId="1" type="noConversion"/>
  </si>
  <si>
    <t>ID</t>
    <phoneticPr fontId="1" type="noConversion"/>
  </si>
  <si>
    <t>自定义技能</t>
    <phoneticPr fontId="1" type="noConversion"/>
  </si>
  <si>
    <t>自定义技能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</si>
</sst>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宋体"/>
      <family val="3"/>
      <charset val="134"/>
    </font>
    <font>
      <sz val="9"/>
      <color rgb="FF000000"/>
      <name val="宋体"/>
      <family val="3"/>
      <charset val="134"/>
    </font>
    <font>
      <sz val="11"/>
      <color theme="1"/>
      <name val="Tahoma"/>
      <family val="2"/>
    </font>
    <font>
      <sz val="11"/>
      <color rgb="FF569CD6"/>
      <name val="Consolas"/>
      <family val="3"/>
    </font>
    <font>
      <sz val="11"/>
      <name val="Tahoma"/>
      <family val="2"/>
      <charset val="134"/>
    </font>
    <font>
      <sz val="11"/>
      <name val="Consolas"/>
      <family val="3"/>
    </font>
    <font>
      <sz val="1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/>
  </cellStyleXfs>
  <cellXfs count="18">
    <xf numFmtId="0" fontId="0" fillId="0" borderId="0" xfId="0"/>
    <xf numFmtId="0" fontId="2" fillId="0" borderId="0" xfId="0" applyFont="1"/>
    <xf numFmtId="0" fontId="0" fillId="2" borderId="0" xfId="0" applyFill="1"/>
    <xf numFmtId="0" fontId="2" fillId="0" borderId="0" xfId="0" applyFont="1" applyAlignment="1">
      <alignment wrapText="1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2" fillId="0" borderId="0" xfId="1" applyFont="1" applyAlignment="1">
      <alignment horizontal="center" vertical="center"/>
    </xf>
    <xf numFmtId="0" fontId="4" fillId="0" borderId="0" xfId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4" borderId="0" xfId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4" borderId="0" xfId="0" applyFill="1"/>
  </cellXfs>
  <cellStyles count="2">
    <cellStyle name="常规" xfId="0" builtinId="0"/>
    <cellStyle name="常规 2" xfId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333375</xdr:colOff>
          <xdr:row>7</xdr:row>
          <xdr:rowOff>38100</xdr:rowOff>
        </xdr:from>
        <xdr:to>
          <xdr:col>3</xdr:col>
          <xdr:colOff>514350</xdr:colOff>
          <xdr:row>9</xdr:row>
          <xdr:rowOff>142875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12</xdr:row>
          <xdr:rowOff>66675</xdr:rowOff>
        </xdr:from>
        <xdr:to>
          <xdr:col>5</xdr:col>
          <xdr:colOff>381000</xdr:colOff>
          <xdr:row>25</xdr:row>
          <xdr:rowOff>152400</xdr:rowOff>
        </xdr:to>
        <xdr:sp macro="" textlink="">
          <xdr:nvSpPr>
            <xdr:cNvPr id="2051" name="Label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说明：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第一列为类型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第二列为模板物编ID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第三列为生成物编ID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第四列后面为data，data可以随意扩展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输入# 为不加载此行数据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模型路径为\\双斜杠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生成的代码复制到编辑器当中即可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需要注意单位ID 首字母大写是英雄 小写是英雄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(f函数可以生成36进制的物编ID： =f(数据,1) )</a:t>
              </a: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PS：保持此模板新创建新的数据表，同样有效</a:t>
              </a: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                                        Reset</a:t>
              </a: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/>
      </xdr:twoCellAnchor>
    </mc:Choice>
    <mc:Fallback/>
  </mc:AlternateContent>
  <xdr:twoCellAnchor editAs="oneCell">
    <xdr:from>
      <xdr:col>9</xdr:col>
      <xdr:colOff>638175</xdr:colOff>
      <xdr:row>7</xdr:row>
      <xdr:rowOff>0</xdr:rowOff>
    </xdr:from>
    <xdr:to>
      <xdr:col>15</xdr:col>
      <xdr:colOff>228137</xdr:colOff>
      <xdr:row>17</xdr:row>
      <xdr:rowOff>171202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0375" y="1266825"/>
          <a:ext cx="3704762" cy="19809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6</xdr:row>
          <xdr:rowOff>9525</xdr:rowOff>
        </xdr:from>
        <xdr:to>
          <xdr:col>8</xdr:col>
          <xdr:colOff>581025</xdr:colOff>
          <xdr:row>7</xdr:row>
          <xdr:rowOff>76200</xdr:rowOff>
        </xdr:to>
        <xdr:sp macro="" textlink="">
          <xdr:nvSpPr>
            <xdr:cNvPr id="2052" name="CheckBox1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7</xdr:row>
          <xdr:rowOff>76200</xdr:rowOff>
        </xdr:from>
        <xdr:to>
          <xdr:col>8</xdr:col>
          <xdr:colOff>571500</xdr:colOff>
          <xdr:row>8</xdr:row>
          <xdr:rowOff>142875</xdr:rowOff>
        </xdr:to>
        <xdr:sp macro="" textlink="">
          <xdr:nvSpPr>
            <xdr:cNvPr id="2053" name="CheckBox2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8</xdr:row>
          <xdr:rowOff>152400</xdr:rowOff>
        </xdr:from>
        <xdr:to>
          <xdr:col>8</xdr:col>
          <xdr:colOff>581025</xdr:colOff>
          <xdr:row>10</xdr:row>
          <xdr:rowOff>38100</xdr:rowOff>
        </xdr:to>
        <xdr:sp macro="" textlink="">
          <xdr:nvSpPr>
            <xdr:cNvPr id="2054" name="CheckBox3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10</xdr:row>
          <xdr:rowOff>38100</xdr:rowOff>
        </xdr:from>
        <xdr:to>
          <xdr:col>8</xdr:col>
          <xdr:colOff>609600</xdr:colOff>
          <xdr:row>11</xdr:row>
          <xdr:rowOff>104775</xdr:rowOff>
        </xdr:to>
        <xdr:sp macro="" textlink="">
          <xdr:nvSpPr>
            <xdr:cNvPr id="2055" name="CheckBox4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409575</xdr:colOff>
      <xdr:row>7</xdr:row>
      <xdr:rowOff>0</xdr:rowOff>
    </xdr:from>
    <xdr:to>
      <xdr:col>48</xdr:col>
      <xdr:colOff>37813</xdr:colOff>
      <xdr:row>13</xdr:row>
      <xdr:rowOff>104626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96950" y="1390650"/>
          <a:ext cx="2295238" cy="1190476"/>
        </a:xfrm>
        <a:prstGeom prst="rect">
          <a:avLst/>
        </a:prstGeom>
      </xdr:spPr>
    </xdr:pic>
    <xdr:clientData/>
  </xdr:twoCellAnchor>
  <xdr:twoCellAnchor editAs="oneCell">
    <xdr:from>
      <xdr:col>48</xdr:col>
      <xdr:colOff>209550</xdr:colOff>
      <xdr:row>5</xdr:row>
      <xdr:rowOff>123825</xdr:rowOff>
    </xdr:from>
    <xdr:to>
      <xdr:col>52</xdr:col>
      <xdr:colOff>113898</xdr:colOff>
      <xdr:row>19</xdr:row>
      <xdr:rowOff>94937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263925" y="1038225"/>
          <a:ext cx="3219048" cy="25047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7:D11"/>
  <sheetViews>
    <sheetView tabSelected="1" workbookViewId="0">
      <selection activeCell="I22" sqref="I22"/>
    </sheetView>
  </sheetViews>
  <sheetFormatPr defaultRowHeight="14.25" x14ac:dyDescent="0.2"/>
  <sheetData>
    <row r="7" spans="2:4" x14ac:dyDescent="0.2">
      <c r="B7" s="2"/>
      <c r="C7" s="2"/>
      <c r="D7" s="2"/>
    </row>
    <row r="8" spans="2:4" x14ac:dyDescent="0.2">
      <c r="B8" s="2"/>
      <c r="C8" s="2"/>
      <c r="D8" s="2"/>
    </row>
    <row r="9" spans="2:4" x14ac:dyDescent="0.2">
      <c r="B9" s="2"/>
      <c r="C9" s="2"/>
      <c r="D9" s="2"/>
    </row>
    <row r="10" spans="2:4" x14ac:dyDescent="0.2">
      <c r="B10" s="2"/>
      <c r="C10" s="2"/>
      <c r="D10" s="2"/>
    </row>
    <row r="11" spans="2:4" x14ac:dyDescent="0.2">
      <c r="B11" s="2"/>
      <c r="C11" s="2"/>
      <c r="D11" s="2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CheckBox4">
          <controlPr defaultSize="0" autoLine="0" autoPict="0" r:id="rId5">
            <anchor moveWithCells="1">
              <from>
                <xdr:col>4</xdr:col>
                <xdr:colOff>190500</xdr:colOff>
                <xdr:row>10</xdr:row>
                <xdr:rowOff>38100</xdr:rowOff>
              </from>
              <to>
                <xdr:col>8</xdr:col>
                <xdr:colOff>609600</xdr:colOff>
                <xdr:row>11</xdr:row>
                <xdr:rowOff>104775</xdr:rowOff>
              </to>
            </anchor>
          </controlPr>
        </control>
      </mc:Choice>
      <mc:Fallback>
        <control shapeId="2055" r:id="rId4" name="CheckBox4"/>
      </mc:Fallback>
    </mc:AlternateContent>
    <mc:AlternateContent xmlns:mc="http://schemas.openxmlformats.org/markup-compatibility/2006">
      <mc:Choice Requires="x14">
        <control shapeId="2054" r:id="rId6" name="CheckBox3">
          <controlPr defaultSize="0" autoLine="0" autoPict="0" r:id="rId7">
            <anchor moveWithCells="1">
              <from>
                <xdr:col>4</xdr:col>
                <xdr:colOff>190500</xdr:colOff>
                <xdr:row>8</xdr:row>
                <xdr:rowOff>152400</xdr:rowOff>
              </from>
              <to>
                <xdr:col>8</xdr:col>
                <xdr:colOff>581025</xdr:colOff>
                <xdr:row>10</xdr:row>
                <xdr:rowOff>38100</xdr:rowOff>
              </to>
            </anchor>
          </controlPr>
        </control>
      </mc:Choice>
      <mc:Fallback>
        <control shapeId="2054" r:id="rId6" name="CheckBox3"/>
      </mc:Fallback>
    </mc:AlternateContent>
    <mc:AlternateContent xmlns:mc="http://schemas.openxmlformats.org/markup-compatibility/2006">
      <mc:Choice Requires="x14">
        <control shapeId="2053" r:id="rId8" name="CheckBox2">
          <controlPr defaultSize="0" autoLine="0" autoPict="0" r:id="rId9">
            <anchor moveWithCells="1">
              <from>
                <xdr:col>4</xdr:col>
                <xdr:colOff>190500</xdr:colOff>
                <xdr:row>7</xdr:row>
                <xdr:rowOff>76200</xdr:rowOff>
              </from>
              <to>
                <xdr:col>8</xdr:col>
                <xdr:colOff>571500</xdr:colOff>
                <xdr:row>8</xdr:row>
                <xdr:rowOff>142875</xdr:rowOff>
              </to>
            </anchor>
          </controlPr>
        </control>
      </mc:Choice>
      <mc:Fallback>
        <control shapeId="2053" r:id="rId8" name="CheckBox2"/>
      </mc:Fallback>
    </mc:AlternateContent>
    <mc:AlternateContent xmlns:mc="http://schemas.openxmlformats.org/markup-compatibility/2006">
      <mc:Choice Requires="x14">
        <control shapeId="2052" r:id="rId10" name="CheckBox1">
          <controlPr defaultSize="0" autoLine="0" autoPict="0" r:id="rId11">
            <anchor moveWithCells="1">
              <from>
                <xdr:col>4</xdr:col>
                <xdr:colOff>190500</xdr:colOff>
                <xdr:row>6</xdr:row>
                <xdr:rowOff>9525</xdr:rowOff>
              </from>
              <to>
                <xdr:col>8</xdr:col>
                <xdr:colOff>581025</xdr:colOff>
                <xdr:row>7</xdr:row>
                <xdr:rowOff>76200</xdr:rowOff>
              </to>
            </anchor>
          </controlPr>
        </control>
      </mc:Choice>
      <mc:Fallback>
        <control shapeId="2052" r:id="rId10" name="CheckBox1"/>
      </mc:Fallback>
    </mc:AlternateContent>
    <mc:AlternateContent xmlns:mc="http://schemas.openxmlformats.org/markup-compatibility/2006">
      <mc:Choice Requires="x14">
        <control shapeId="2050" r:id="rId12" name="CommandButton1">
          <controlPr defaultSize="0" autoLine="0" r:id="rId13">
            <anchor>
              <from>
                <xdr:col>1</xdr:col>
                <xdr:colOff>333375</xdr:colOff>
                <xdr:row>7</xdr:row>
                <xdr:rowOff>38100</xdr:rowOff>
              </from>
              <to>
                <xdr:col>3</xdr:col>
                <xdr:colOff>514350</xdr:colOff>
                <xdr:row>9</xdr:row>
                <xdr:rowOff>142875</xdr:rowOff>
              </to>
            </anchor>
          </controlPr>
        </control>
      </mc:Choice>
      <mc:Fallback>
        <control shapeId="2050" r:id="rId12" name="CommandButton1"/>
      </mc:Fallback>
    </mc:AlternateContent>
    <mc:AlternateContent xmlns:mc="http://schemas.openxmlformats.org/markup-compatibility/2006">
      <mc:Choice Requires="x14">
        <control shapeId="2051" r:id="rId14" name="Label 3">
          <controlPr defaultSize="0" autoFill="0" autoLine="0" autoPict="0">
            <anchor moveWithCells="1" sizeWithCells="1">
              <from>
                <xdr:col>1</xdr:col>
                <xdr:colOff>133350</xdr:colOff>
                <xdr:row>12</xdr:row>
                <xdr:rowOff>66675</xdr:rowOff>
              </from>
              <to>
                <xdr:col>5</xdr:col>
                <xdr:colOff>381000</xdr:colOff>
                <xdr:row>25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P38"/>
  <sheetViews>
    <sheetView workbookViewId="0">
      <pane xSplit="4" topLeftCell="F1" activePane="topRight" state="frozen"/>
      <selection pane="topRight" activeCell="F11" sqref="F11"/>
    </sheetView>
  </sheetViews>
  <sheetFormatPr defaultRowHeight="14.25" x14ac:dyDescent="0.2"/>
  <cols>
    <col min="2" max="2" width="9.5" customWidth="1"/>
    <col min="3" max="4" width="13.375" bestFit="1" customWidth="1"/>
    <col min="6" max="6" width="55.5" customWidth="1"/>
    <col min="7" max="7" width="55.5" bestFit="1" customWidth="1"/>
    <col min="10" max="12" width="18.375" bestFit="1" customWidth="1"/>
    <col min="13" max="15" width="16.375" bestFit="1" customWidth="1"/>
    <col min="16" max="18" width="18.875" bestFit="1" customWidth="1"/>
    <col min="19" max="21" width="21.25" bestFit="1" customWidth="1"/>
    <col min="22" max="24" width="17.25" customWidth="1"/>
    <col min="28" max="28" width="10" customWidth="1"/>
    <col min="31" max="39" width="11.125" bestFit="1" customWidth="1"/>
    <col min="40" max="42" width="17.25" bestFit="1" customWidth="1"/>
  </cols>
  <sheetData>
    <row r="1" spans="1:42" ht="15" x14ac:dyDescent="0.2">
      <c r="A1" s="6" t="s">
        <v>0</v>
      </c>
      <c r="B1" s="6" t="s">
        <v>67</v>
      </c>
      <c r="C1" s="6" t="s">
        <v>200</v>
      </c>
      <c r="D1" s="6" t="s">
        <v>199</v>
      </c>
      <c r="E1" s="6" t="s">
        <v>69</v>
      </c>
      <c r="F1" s="6" t="s">
        <v>92</v>
      </c>
      <c r="G1" s="6" t="s">
        <v>72</v>
      </c>
      <c r="H1" s="6" t="s">
        <v>88</v>
      </c>
      <c r="I1" s="6" t="s">
        <v>70</v>
      </c>
      <c r="J1" s="6" t="s">
        <v>71</v>
      </c>
      <c r="K1" s="6" t="s">
        <v>71</v>
      </c>
      <c r="L1" s="6" t="s">
        <v>71</v>
      </c>
      <c r="M1" s="6" t="s">
        <v>73</v>
      </c>
      <c r="N1" s="6" t="s">
        <v>73</v>
      </c>
      <c r="O1" s="6" t="s">
        <v>73</v>
      </c>
      <c r="P1" s="6" t="s">
        <v>137</v>
      </c>
      <c r="Q1" s="6" t="s">
        <v>74</v>
      </c>
      <c r="R1" s="6" t="s">
        <v>74</v>
      </c>
      <c r="S1" s="6" t="s">
        <v>75</v>
      </c>
      <c r="T1" s="6" t="s">
        <v>75</v>
      </c>
      <c r="U1" s="6" t="s">
        <v>75</v>
      </c>
      <c r="V1" s="6" t="s">
        <v>76</v>
      </c>
      <c r="W1" s="6" t="s">
        <v>76</v>
      </c>
      <c r="X1" s="6" t="s">
        <v>76</v>
      </c>
      <c r="Y1" s="6" t="s">
        <v>89</v>
      </c>
      <c r="Z1" s="6" t="s">
        <v>89</v>
      </c>
      <c r="AA1" s="6" t="s">
        <v>89</v>
      </c>
      <c r="AB1" s="7" t="s">
        <v>93</v>
      </c>
      <c r="AC1" s="7" t="s">
        <v>93</v>
      </c>
      <c r="AD1" s="7" t="s">
        <v>93</v>
      </c>
      <c r="AE1" s="8" t="s">
        <v>128</v>
      </c>
      <c r="AF1" s="8" t="s">
        <v>128</v>
      </c>
      <c r="AG1" s="8" t="s">
        <v>128</v>
      </c>
      <c r="AH1" s="8" t="s">
        <v>131</v>
      </c>
      <c r="AI1" s="8" t="s">
        <v>131</v>
      </c>
      <c r="AJ1" s="8" t="s">
        <v>131</v>
      </c>
      <c r="AK1" s="7" t="s">
        <v>127</v>
      </c>
      <c r="AL1" s="7" t="s">
        <v>127</v>
      </c>
      <c r="AM1" s="7" t="s">
        <v>127</v>
      </c>
      <c r="AN1" s="7" t="s">
        <v>94</v>
      </c>
      <c r="AO1" s="7" t="s">
        <v>94</v>
      </c>
      <c r="AP1" s="7" t="s">
        <v>94</v>
      </c>
    </row>
    <row r="2" spans="1:42" ht="13.5" customHeight="1" x14ac:dyDescent="0.2">
      <c r="A2" s="7" t="s">
        <v>77</v>
      </c>
      <c r="B2" s="7" t="s">
        <v>78</v>
      </c>
      <c r="C2" s="7" t="s">
        <v>201</v>
      </c>
      <c r="D2" s="7" t="s">
        <v>68</v>
      </c>
      <c r="E2" s="7" t="s">
        <v>79</v>
      </c>
      <c r="F2" s="7" t="s">
        <v>91</v>
      </c>
      <c r="G2" s="7" t="s">
        <v>90</v>
      </c>
      <c r="H2" s="9" t="s">
        <v>85</v>
      </c>
      <c r="I2" s="7" t="s">
        <v>80</v>
      </c>
      <c r="J2" s="7" t="s">
        <v>97</v>
      </c>
      <c r="K2" s="7" t="s">
        <v>98</v>
      </c>
      <c r="L2" s="7" t="s">
        <v>104</v>
      </c>
      <c r="M2" s="7" t="s">
        <v>99</v>
      </c>
      <c r="N2" s="7" t="s">
        <v>100</v>
      </c>
      <c r="O2" s="7" t="s">
        <v>105</v>
      </c>
      <c r="P2" s="7" t="s">
        <v>106</v>
      </c>
      <c r="Q2" s="7" t="s">
        <v>107</v>
      </c>
      <c r="R2" s="7" t="s">
        <v>108</v>
      </c>
      <c r="S2" s="7" t="s">
        <v>110</v>
      </c>
      <c r="T2" s="7" t="s">
        <v>112</v>
      </c>
      <c r="U2" s="7" t="s">
        <v>113</v>
      </c>
      <c r="V2" s="7" t="s">
        <v>111</v>
      </c>
      <c r="W2" s="7" t="s">
        <v>114</v>
      </c>
      <c r="X2" s="7" t="s">
        <v>115</v>
      </c>
      <c r="Y2" s="7" t="s">
        <v>116</v>
      </c>
      <c r="Z2" s="7" t="s">
        <v>117</v>
      </c>
      <c r="AA2" s="7" t="s">
        <v>118</v>
      </c>
      <c r="AB2" s="7" t="s">
        <v>120</v>
      </c>
      <c r="AC2" s="7" t="s">
        <v>121</v>
      </c>
      <c r="AD2" s="7" t="s">
        <v>122</v>
      </c>
      <c r="AE2" s="7" t="s">
        <v>129</v>
      </c>
      <c r="AF2" s="7" t="s">
        <v>136</v>
      </c>
      <c r="AG2" s="7" t="s">
        <v>135</v>
      </c>
      <c r="AH2" s="7" t="s">
        <v>132</v>
      </c>
      <c r="AI2" s="7" t="s">
        <v>133</v>
      </c>
      <c r="AJ2" s="7" t="s">
        <v>134</v>
      </c>
      <c r="AK2" s="7" t="s">
        <v>123</v>
      </c>
      <c r="AL2" s="7" t="s">
        <v>124</v>
      </c>
      <c r="AM2" s="7" t="s">
        <v>125</v>
      </c>
      <c r="AN2" s="7" t="s">
        <v>119</v>
      </c>
      <c r="AO2" s="7" t="s">
        <v>119</v>
      </c>
      <c r="AP2" s="7" t="s">
        <v>119</v>
      </c>
    </row>
    <row r="3" spans="1:42" ht="28.5" x14ac:dyDescent="0.2">
      <c r="A3" s="7" t="s">
        <v>81</v>
      </c>
      <c r="B3" s="7" t="s">
        <v>83</v>
      </c>
      <c r="C3" s="7">
        <v>1306369</v>
      </c>
      <c r="D3" s="7" t="str">
        <f>s(C3)</f>
        <v>S001</v>
      </c>
      <c r="E3" s="8" t="s">
        <v>86</v>
      </c>
      <c r="F3" s="7" t="s">
        <v>103</v>
      </c>
      <c r="G3" s="7" t="s">
        <v>82</v>
      </c>
      <c r="H3" s="9">
        <v>3</v>
      </c>
      <c r="I3" s="7" t="s">
        <v>194</v>
      </c>
      <c r="J3" s="10" t="s">
        <v>102</v>
      </c>
      <c r="K3" s="10" t="s">
        <v>102</v>
      </c>
      <c r="L3" s="10" t="s">
        <v>102</v>
      </c>
      <c r="M3" s="11" t="s">
        <v>95</v>
      </c>
      <c r="N3" s="11" t="s">
        <v>96</v>
      </c>
      <c r="O3" s="11" t="s">
        <v>96</v>
      </c>
      <c r="P3" s="7" t="s">
        <v>109</v>
      </c>
      <c r="Q3" s="7" t="s">
        <v>109</v>
      </c>
      <c r="R3" s="7" t="s">
        <v>109</v>
      </c>
      <c r="S3" s="7">
        <v>10</v>
      </c>
      <c r="T3" s="7">
        <v>20</v>
      </c>
      <c r="U3" s="7">
        <v>30</v>
      </c>
      <c r="V3" s="7">
        <v>0</v>
      </c>
      <c r="W3" s="7">
        <v>0</v>
      </c>
      <c r="X3" s="7">
        <v>0</v>
      </c>
      <c r="Y3" s="7">
        <v>0</v>
      </c>
      <c r="Z3" s="7">
        <v>0</v>
      </c>
      <c r="AA3" s="7">
        <v>0</v>
      </c>
      <c r="AB3" s="7">
        <v>3</v>
      </c>
      <c r="AC3" s="7">
        <v>3</v>
      </c>
      <c r="AD3" s="7">
        <v>3</v>
      </c>
      <c r="AE3" s="7">
        <v>0.98</v>
      </c>
      <c r="AF3" s="7">
        <v>0.98</v>
      </c>
      <c r="AG3" s="7">
        <v>0.98</v>
      </c>
      <c r="AH3" s="7">
        <v>0</v>
      </c>
      <c r="AI3" s="7">
        <v>0</v>
      </c>
      <c r="AJ3" s="7">
        <v>0</v>
      </c>
      <c r="AK3" s="7" t="s">
        <v>126</v>
      </c>
      <c r="AL3" s="7" t="s">
        <v>126</v>
      </c>
      <c r="AM3" s="7" t="s">
        <v>126</v>
      </c>
      <c r="AN3" s="7">
        <v>60</v>
      </c>
      <c r="AO3" s="7">
        <v>60</v>
      </c>
      <c r="AP3" s="7">
        <v>60</v>
      </c>
    </row>
    <row r="4" spans="1:42" ht="28.5" x14ac:dyDescent="0.2">
      <c r="A4" s="7" t="s">
        <v>81</v>
      </c>
      <c r="B4" s="7" t="s">
        <v>84</v>
      </c>
      <c r="C4" s="7">
        <v>1306370</v>
      </c>
      <c r="D4" s="7" t="str">
        <f t="shared" ref="D4:D5" si="0">s(C4)</f>
        <v>S002</v>
      </c>
      <c r="E4" s="8" t="s">
        <v>86</v>
      </c>
      <c r="F4" s="7" t="s">
        <v>87</v>
      </c>
      <c r="G4" s="7" t="s">
        <v>82</v>
      </c>
      <c r="H4" s="9">
        <v>2</v>
      </c>
      <c r="I4" s="11"/>
      <c r="J4" s="10" t="s">
        <v>202</v>
      </c>
      <c r="K4" s="10" t="s">
        <v>202</v>
      </c>
      <c r="L4" s="11"/>
      <c r="M4" s="10" t="s">
        <v>101</v>
      </c>
      <c r="N4" s="11" t="s">
        <v>130</v>
      </c>
      <c r="O4" s="11"/>
      <c r="P4" s="7" t="s">
        <v>109</v>
      </c>
      <c r="Q4" s="7" t="s">
        <v>109</v>
      </c>
      <c r="R4" s="7"/>
      <c r="S4" s="7">
        <v>10</v>
      </c>
      <c r="T4" s="7">
        <v>20</v>
      </c>
      <c r="U4" s="7"/>
      <c r="V4" s="7">
        <v>0</v>
      </c>
      <c r="W4" s="7">
        <v>0</v>
      </c>
      <c r="X4" s="7"/>
      <c r="Y4" s="7">
        <v>0</v>
      </c>
      <c r="Z4" s="7">
        <v>0</v>
      </c>
      <c r="AA4" s="7"/>
      <c r="AB4" s="7">
        <v>3</v>
      </c>
      <c r="AC4" s="7">
        <v>3</v>
      </c>
      <c r="AD4" s="7"/>
      <c r="AE4" s="7">
        <v>0.98</v>
      </c>
      <c r="AF4" s="7">
        <v>0.98</v>
      </c>
      <c r="AG4" s="7"/>
      <c r="AH4" s="7">
        <v>0</v>
      </c>
      <c r="AI4" s="7">
        <v>0</v>
      </c>
      <c r="AJ4" s="7"/>
      <c r="AK4" s="7" t="s">
        <v>126</v>
      </c>
      <c r="AL4" s="7" t="s">
        <v>126</v>
      </c>
      <c r="AM4" s="7"/>
      <c r="AN4" s="7">
        <v>60</v>
      </c>
      <c r="AO4" s="7">
        <v>60</v>
      </c>
      <c r="AP4" s="9"/>
    </row>
    <row r="5" spans="1:42" ht="27" x14ac:dyDescent="0.2">
      <c r="A5" s="7" t="s">
        <v>81</v>
      </c>
      <c r="B5" s="7" t="s">
        <v>83</v>
      </c>
      <c r="C5" s="7">
        <v>1306371</v>
      </c>
      <c r="D5" s="7" t="str">
        <f t="shared" si="0"/>
        <v>S003</v>
      </c>
      <c r="E5" s="8" t="s">
        <v>86</v>
      </c>
      <c r="F5" s="7" t="s">
        <v>87</v>
      </c>
      <c r="G5" s="7" t="s">
        <v>82</v>
      </c>
      <c r="H5" s="9">
        <v>1</v>
      </c>
      <c r="I5" s="7" t="s">
        <v>138</v>
      </c>
      <c r="J5" s="10" t="s">
        <v>203</v>
      </c>
      <c r="K5" s="11"/>
      <c r="L5" s="11"/>
      <c r="M5" s="10" t="s">
        <v>101</v>
      </c>
      <c r="N5" s="11"/>
      <c r="O5" s="11"/>
      <c r="P5" s="7" t="s">
        <v>109</v>
      </c>
      <c r="Q5" s="7"/>
      <c r="R5" s="7"/>
      <c r="S5" s="7">
        <v>10</v>
      </c>
      <c r="T5" s="7"/>
      <c r="U5" s="7"/>
      <c r="V5" s="7">
        <v>0</v>
      </c>
      <c r="W5" s="7"/>
      <c r="X5" s="7"/>
      <c r="Y5" s="7">
        <v>0</v>
      </c>
      <c r="Z5" s="7"/>
      <c r="AA5" s="7"/>
      <c r="AB5" s="7">
        <v>3</v>
      </c>
      <c r="AC5" s="7"/>
      <c r="AD5" s="7"/>
      <c r="AE5" s="7">
        <v>0.98</v>
      </c>
      <c r="AF5" s="7"/>
      <c r="AG5" s="7"/>
      <c r="AH5" s="7">
        <v>0</v>
      </c>
      <c r="AI5" s="7"/>
      <c r="AJ5" s="7"/>
      <c r="AK5" s="7" t="s">
        <v>126</v>
      </c>
      <c r="AL5" s="7"/>
      <c r="AM5" s="7"/>
      <c r="AN5" s="7">
        <v>60</v>
      </c>
      <c r="AO5" s="9"/>
      <c r="AP5" s="9"/>
    </row>
    <row r="6" spans="1:42" x14ac:dyDescent="0.2">
      <c r="E6" s="1"/>
      <c r="J6" s="1"/>
      <c r="K6" s="1"/>
      <c r="L6" s="1"/>
      <c r="M6" s="3"/>
      <c r="N6" s="3"/>
      <c r="O6" s="3"/>
      <c r="V6" s="5"/>
      <c r="W6" s="5"/>
      <c r="X6" s="5"/>
      <c r="Y6" s="5"/>
      <c r="Z6" s="5"/>
      <c r="AA6" s="5"/>
      <c r="AE6" s="5"/>
      <c r="AN6" s="5"/>
    </row>
    <row r="7" spans="1:42" x14ac:dyDescent="0.2">
      <c r="E7" s="1"/>
      <c r="J7" s="1"/>
      <c r="K7" s="1"/>
      <c r="L7" s="1"/>
      <c r="M7" s="3"/>
      <c r="N7" s="3"/>
      <c r="O7" s="3"/>
    </row>
    <row r="8" spans="1:42" x14ac:dyDescent="0.2">
      <c r="E8" s="1"/>
      <c r="J8" s="1"/>
      <c r="K8" s="1"/>
      <c r="L8" s="1"/>
      <c r="M8" s="3"/>
      <c r="N8" s="3"/>
      <c r="O8" s="3"/>
    </row>
    <row r="9" spans="1:42" x14ac:dyDescent="0.2">
      <c r="E9" s="1"/>
      <c r="J9" s="1"/>
      <c r="K9" s="1"/>
      <c r="L9" s="1"/>
      <c r="M9" s="3"/>
      <c r="N9" s="3"/>
      <c r="O9" s="3"/>
    </row>
    <row r="10" spans="1:42" x14ac:dyDescent="0.2">
      <c r="E10" s="1"/>
      <c r="J10" s="1"/>
      <c r="K10" s="1"/>
      <c r="L10" s="1"/>
      <c r="M10" s="3"/>
      <c r="N10" s="3"/>
      <c r="O10" s="3"/>
    </row>
    <row r="11" spans="1:42" x14ac:dyDescent="0.2">
      <c r="E11" s="1"/>
      <c r="J11" s="1"/>
      <c r="K11" s="1"/>
      <c r="L11" s="1"/>
      <c r="M11" s="3"/>
      <c r="N11" s="3"/>
      <c r="O11" s="3"/>
    </row>
    <row r="12" spans="1:42" x14ac:dyDescent="0.2">
      <c r="E12" s="1"/>
      <c r="J12" s="1"/>
      <c r="K12" s="1"/>
      <c r="L12" s="1"/>
      <c r="M12" s="3"/>
      <c r="N12" s="3"/>
      <c r="O12" s="3"/>
    </row>
    <row r="13" spans="1:42" x14ac:dyDescent="0.2">
      <c r="E13" s="1"/>
      <c r="J13" s="1"/>
      <c r="K13" s="1"/>
      <c r="L13" s="1"/>
      <c r="M13" s="3"/>
      <c r="N13" s="3"/>
      <c r="O13" s="3"/>
    </row>
    <row r="14" spans="1:42" x14ac:dyDescent="0.2">
      <c r="E14" s="1"/>
      <c r="J14" s="1"/>
      <c r="K14" s="1"/>
      <c r="L14" s="1"/>
      <c r="M14" s="3"/>
      <c r="N14" s="3"/>
      <c r="O14" s="3"/>
    </row>
    <row r="15" spans="1:42" x14ac:dyDescent="0.2">
      <c r="E15" s="1"/>
      <c r="J15" s="1"/>
      <c r="K15" s="1"/>
      <c r="L15" s="1"/>
      <c r="M15" s="3"/>
      <c r="N15" s="3"/>
      <c r="O15" s="3"/>
    </row>
    <row r="16" spans="1:42" x14ac:dyDescent="0.2">
      <c r="E16" s="1"/>
      <c r="J16" s="1"/>
      <c r="K16" s="1"/>
      <c r="L16" s="1"/>
      <c r="M16" s="3"/>
      <c r="N16" s="3"/>
      <c r="O16" s="3"/>
    </row>
    <row r="17" spans="5:15" x14ac:dyDescent="0.2">
      <c r="E17" s="1"/>
      <c r="J17" s="1"/>
      <c r="K17" s="1"/>
      <c r="L17" s="1"/>
      <c r="M17" s="3"/>
      <c r="N17" s="3"/>
      <c r="O17" s="3"/>
    </row>
    <row r="18" spans="5:15" x14ac:dyDescent="0.2">
      <c r="E18" s="1"/>
      <c r="J18" s="1"/>
      <c r="K18" s="1"/>
      <c r="L18" s="1"/>
      <c r="M18" s="3"/>
      <c r="N18" s="3"/>
      <c r="O18" s="3"/>
    </row>
    <row r="19" spans="5:15" x14ac:dyDescent="0.2">
      <c r="E19" s="1"/>
      <c r="J19" s="1"/>
      <c r="K19" s="1"/>
      <c r="L19" s="1"/>
      <c r="M19" s="3"/>
      <c r="N19" s="3"/>
      <c r="O19" s="3"/>
    </row>
    <row r="20" spans="5:15" x14ac:dyDescent="0.2">
      <c r="E20" s="1"/>
      <c r="J20" s="1"/>
      <c r="K20" s="1"/>
      <c r="L20" s="1"/>
      <c r="M20" s="3"/>
      <c r="N20" s="3"/>
      <c r="O20" s="3"/>
    </row>
    <row r="21" spans="5:15" x14ac:dyDescent="0.2">
      <c r="E21" s="1"/>
      <c r="J21" s="1"/>
      <c r="K21" s="1"/>
      <c r="L21" s="1"/>
      <c r="M21" s="3"/>
      <c r="N21" s="3"/>
      <c r="O21" s="3"/>
    </row>
    <row r="22" spans="5:15" x14ac:dyDescent="0.2">
      <c r="E22" s="1"/>
      <c r="J22" s="1"/>
      <c r="K22" s="1"/>
      <c r="L22" s="1"/>
      <c r="M22" s="3"/>
      <c r="N22" s="3"/>
      <c r="O22" s="3"/>
    </row>
    <row r="23" spans="5:15" x14ac:dyDescent="0.2">
      <c r="E23" s="1"/>
      <c r="J23" s="1"/>
      <c r="K23" s="1"/>
      <c r="L23" s="1"/>
      <c r="M23" s="3"/>
      <c r="N23" s="3"/>
      <c r="O23" s="3"/>
    </row>
    <row r="24" spans="5:15" x14ac:dyDescent="0.2">
      <c r="E24" s="1"/>
      <c r="J24" s="1"/>
      <c r="K24" s="1"/>
      <c r="L24" s="1"/>
      <c r="M24" s="3"/>
      <c r="N24" s="3"/>
      <c r="O24" s="3"/>
    </row>
    <row r="25" spans="5:15" x14ac:dyDescent="0.2">
      <c r="E25" s="1"/>
      <c r="J25" s="1"/>
      <c r="K25" s="1"/>
      <c r="L25" s="1"/>
      <c r="M25" s="3"/>
      <c r="N25" s="3"/>
      <c r="O25" s="3"/>
    </row>
    <row r="26" spans="5:15" x14ac:dyDescent="0.2">
      <c r="E26" s="1"/>
      <c r="J26" s="1"/>
      <c r="K26" s="1"/>
      <c r="L26" s="1"/>
      <c r="M26" s="3"/>
      <c r="N26" s="3"/>
      <c r="O26" s="3"/>
    </row>
    <row r="27" spans="5:15" x14ac:dyDescent="0.2">
      <c r="E27" s="1"/>
      <c r="J27" s="1"/>
      <c r="K27" s="1"/>
      <c r="L27" s="1"/>
      <c r="M27" s="3"/>
      <c r="N27" s="3"/>
      <c r="O27" s="3"/>
    </row>
    <row r="28" spans="5:15" x14ac:dyDescent="0.2">
      <c r="E28" s="1"/>
      <c r="J28" s="1"/>
      <c r="K28" s="1"/>
      <c r="L28" s="1"/>
      <c r="M28" s="3"/>
      <c r="N28" s="3"/>
      <c r="O28" s="3"/>
    </row>
    <row r="29" spans="5:15" x14ac:dyDescent="0.2">
      <c r="E29" s="1"/>
      <c r="J29" s="1"/>
      <c r="K29" s="1"/>
      <c r="L29" s="1"/>
      <c r="M29" s="3"/>
      <c r="N29" s="3"/>
      <c r="O29" s="3"/>
    </row>
    <row r="30" spans="5:15" x14ac:dyDescent="0.2">
      <c r="E30" s="1"/>
      <c r="J30" s="1"/>
      <c r="K30" s="1"/>
      <c r="L30" s="1"/>
      <c r="M30" s="3"/>
      <c r="N30" s="3"/>
      <c r="O30" s="3"/>
    </row>
    <row r="31" spans="5:15" x14ac:dyDescent="0.2">
      <c r="E31" s="1"/>
      <c r="J31" s="1"/>
      <c r="K31" s="1"/>
      <c r="L31" s="1"/>
      <c r="M31" s="3"/>
      <c r="N31" s="3"/>
      <c r="O31" s="3"/>
    </row>
    <row r="32" spans="5:15" x14ac:dyDescent="0.2">
      <c r="E32" s="1"/>
      <c r="J32" s="1"/>
      <c r="K32" s="1"/>
      <c r="L32" s="1"/>
      <c r="M32" s="3"/>
      <c r="N32" s="3"/>
      <c r="O32" s="3"/>
    </row>
    <row r="33" spans="5:15" x14ac:dyDescent="0.2">
      <c r="E33" s="1"/>
      <c r="J33" s="1"/>
      <c r="K33" s="1"/>
      <c r="L33" s="1"/>
      <c r="M33" s="3"/>
      <c r="N33" s="3"/>
      <c r="O33" s="3"/>
    </row>
    <row r="34" spans="5:15" x14ac:dyDescent="0.2">
      <c r="E34" s="1"/>
      <c r="J34" s="1"/>
      <c r="K34" s="1"/>
      <c r="L34" s="1"/>
      <c r="M34" s="3"/>
      <c r="N34" s="3"/>
      <c r="O34" s="3"/>
    </row>
    <row r="35" spans="5:15" x14ac:dyDescent="0.2">
      <c r="E35" s="1"/>
      <c r="J35" s="1"/>
      <c r="K35" s="1"/>
      <c r="L35" s="1"/>
      <c r="M35" s="3"/>
      <c r="N35" s="3"/>
      <c r="O35" s="3"/>
    </row>
    <row r="36" spans="5:15" x14ac:dyDescent="0.2">
      <c r="E36" s="1"/>
      <c r="J36" s="1"/>
      <c r="K36" s="1"/>
      <c r="L36" s="1"/>
      <c r="M36" s="3"/>
      <c r="N36" s="3"/>
      <c r="O36" s="3"/>
    </row>
    <row r="37" spans="5:15" x14ac:dyDescent="0.2">
      <c r="E37" s="1"/>
      <c r="J37" s="1"/>
      <c r="K37" s="1"/>
      <c r="L37" s="1"/>
      <c r="M37" s="3"/>
      <c r="N37" s="3"/>
      <c r="O37" s="3"/>
    </row>
    <row r="38" spans="5:15" x14ac:dyDescent="0.2">
      <c r="E38" s="1"/>
      <c r="J38" s="1"/>
      <c r="K38" s="1"/>
      <c r="L38" s="1"/>
      <c r="M38" s="3"/>
      <c r="N38" s="3"/>
      <c r="O38" s="3"/>
    </row>
  </sheetData>
  <phoneticPr fontId="1" type="noConversion"/>
  <dataValidations count="2">
    <dataValidation type="list" allowBlank="1" showInputMessage="1" showErrorMessage="1" sqref="A3:A1048576">
      <formula1>"ability,item,unit,buff,destructable,doodad,upgrade,"</formula1>
    </dataValidation>
    <dataValidation type="list" allowBlank="1" showInputMessage="1" showErrorMessage="1" sqref="AB22:AM22">
      <formula1>"0,1,2,3,4,5,6,7,8,9,a,b,c,d,e,f,g,h,I,j,k,l,m,n,o,p,q,r,s,t,u,v,w,x,y,z"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Y24"/>
  <sheetViews>
    <sheetView workbookViewId="0">
      <pane xSplit="7" topLeftCell="H1" activePane="topRight" state="frozen"/>
      <selection pane="topRight" activeCell="F18" sqref="F18"/>
    </sheetView>
  </sheetViews>
  <sheetFormatPr defaultRowHeight="14.25" x14ac:dyDescent="0.2"/>
  <cols>
    <col min="3" max="4" width="11.125" bestFit="1" customWidth="1"/>
    <col min="8" max="8" width="10.125" bestFit="1" customWidth="1"/>
    <col min="9" max="9" width="26.75" bestFit="1" customWidth="1"/>
    <col min="13" max="15" width="13" bestFit="1" customWidth="1"/>
    <col min="19" max="20" width="18.375" bestFit="1" customWidth="1"/>
    <col min="21" max="21" width="34.25" bestFit="1" customWidth="1"/>
    <col min="23" max="23" width="54.75" bestFit="1" customWidth="1"/>
    <col min="24" max="24" width="81.125" bestFit="1" customWidth="1"/>
    <col min="30" max="30" width="10.625" bestFit="1" customWidth="1"/>
    <col min="33" max="34" width="13" bestFit="1" customWidth="1"/>
    <col min="35" max="36" width="17.25" bestFit="1" customWidth="1"/>
    <col min="37" max="37" width="13" bestFit="1" customWidth="1"/>
    <col min="38" max="38" width="47.875" bestFit="1" customWidth="1"/>
    <col min="39" max="39" width="11.5" bestFit="1" customWidth="1"/>
    <col min="42" max="42" width="31.125" bestFit="1" customWidth="1"/>
    <col min="46" max="46" width="13" bestFit="1" customWidth="1"/>
    <col min="48" max="49" width="13" bestFit="1" customWidth="1"/>
    <col min="50" max="50" width="12.5" bestFit="1" customWidth="1"/>
  </cols>
  <sheetData>
    <row r="1" spans="1:51" s="17" customFormat="1" x14ac:dyDescent="0.2">
      <c r="A1" s="15" t="s">
        <v>0</v>
      </c>
      <c r="B1" s="15" t="s">
        <v>5</v>
      </c>
      <c r="C1" s="15" t="s">
        <v>197</v>
      </c>
      <c r="D1" s="15" t="s">
        <v>198</v>
      </c>
      <c r="E1" s="16" t="s">
        <v>139</v>
      </c>
      <c r="F1" s="16" t="s">
        <v>140</v>
      </c>
      <c r="G1" s="16" t="s">
        <v>142</v>
      </c>
      <c r="H1" s="16" t="s">
        <v>141</v>
      </c>
      <c r="I1" s="16" t="s">
        <v>143</v>
      </c>
      <c r="J1" s="16" t="s">
        <v>149</v>
      </c>
      <c r="K1" s="16" t="s">
        <v>147</v>
      </c>
      <c r="L1" s="16" t="s">
        <v>148</v>
      </c>
      <c r="M1" s="16" t="s">
        <v>150</v>
      </c>
      <c r="N1" s="16" t="s">
        <v>151</v>
      </c>
      <c r="O1" s="16" t="s">
        <v>152</v>
      </c>
      <c r="P1" s="16" t="s">
        <v>153</v>
      </c>
      <c r="Q1" s="16" t="s">
        <v>154</v>
      </c>
      <c r="R1" s="16" t="s">
        <v>155</v>
      </c>
      <c r="S1" s="16" t="s">
        <v>71</v>
      </c>
      <c r="T1" s="16" t="s">
        <v>156</v>
      </c>
      <c r="U1" s="16" t="s">
        <v>157</v>
      </c>
      <c r="V1" s="16" t="s">
        <v>158</v>
      </c>
      <c r="W1" s="16" t="s">
        <v>159</v>
      </c>
      <c r="X1" s="16" t="s">
        <v>160</v>
      </c>
      <c r="Y1" s="16" t="s">
        <v>161</v>
      </c>
      <c r="Z1" s="16" t="s">
        <v>162</v>
      </c>
      <c r="AA1" s="16" t="s">
        <v>163</v>
      </c>
      <c r="AB1" s="16" t="s">
        <v>164</v>
      </c>
      <c r="AC1" s="16" t="s">
        <v>165</v>
      </c>
      <c r="AD1" s="16" t="s">
        <v>167</v>
      </c>
      <c r="AE1" s="16" t="s">
        <v>168</v>
      </c>
      <c r="AF1" s="16" t="s">
        <v>169</v>
      </c>
      <c r="AG1" s="16" t="s">
        <v>170</v>
      </c>
      <c r="AH1" s="16" t="s">
        <v>171</v>
      </c>
      <c r="AI1" s="16" t="s">
        <v>172</v>
      </c>
      <c r="AJ1" s="16" t="s">
        <v>173</v>
      </c>
      <c r="AK1" s="16" t="s">
        <v>174</v>
      </c>
      <c r="AL1" s="16" t="s">
        <v>175</v>
      </c>
      <c r="AM1" s="16" t="s">
        <v>176</v>
      </c>
      <c r="AN1" s="16" t="s">
        <v>177</v>
      </c>
      <c r="AO1" s="16" t="s">
        <v>179</v>
      </c>
      <c r="AP1" s="16" t="s">
        <v>180</v>
      </c>
      <c r="AQ1" s="16" t="s">
        <v>182</v>
      </c>
      <c r="AR1" s="16" t="s">
        <v>183</v>
      </c>
      <c r="AS1" s="16" t="s">
        <v>184</v>
      </c>
      <c r="AT1" s="16" t="s">
        <v>185</v>
      </c>
      <c r="AU1" s="16" t="s">
        <v>186</v>
      </c>
      <c r="AV1" s="16" t="s">
        <v>187</v>
      </c>
      <c r="AW1" s="16" t="s">
        <v>188</v>
      </c>
      <c r="AX1" s="16" t="s">
        <v>189</v>
      </c>
      <c r="AY1" s="16" t="s">
        <v>190</v>
      </c>
    </row>
    <row r="2" spans="1:51" ht="15" x14ac:dyDescent="0.2">
      <c r="A2" s="13" t="s">
        <v>4</v>
      </c>
      <c r="B2" s="13" t="s">
        <v>5</v>
      </c>
      <c r="C2" s="13" t="s">
        <v>196</v>
      </c>
      <c r="D2" s="13" t="s">
        <v>6</v>
      </c>
      <c r="E2" s="12" t="s">
        <v>65</v>
      </c>
      <c r="F2" s="13" t="s">
        <v>193</v>
      </c>
      <c r="G2" s="13" t="s">
        <v>7</v>
      </c>
      <c r="H2" s="4" t="s">
        <v>192</v>
      </c>
      <c r="I2" s="13" t="s">
        <v>8</v>
      </c>
      <c r="J2" s="13" t="s">
        <v>26</v>
      </c>
      <c r="K2" s="13" t="s">
        <v>27</v>
      </c>
      <c r="L2" s="13" t="s">
        <v>28</v>
      </c>
      <c r="M2" s="13" t="s">
        <v>29</v>
      </c>
      <c r="N2" s="13" t="s">
        <v>30</v>
      </c>
      <c r="O2" s="13" t="s">
        <v>31</v>
      </c>
      <c r="P2" s="13" t="s">
        <v>32</v>
      </c>
      <c r="Q2" s="13" t="s">
        <v>9</v>
      </c>
      <c r="R2" s="12" t="s">
        <v>66</v>
      </c>
      <c r="S2" s="13" t="s">
        <v>10</v>
      </c>
      <c r="T2" s="13" t="s">
        <v>2</v>
      </c>
      <c r="U2" s="13" t="s">
        <v>11</v>
      </c>
      <c r="V2" s="13" t="s">
        <v>12</v>
      </c>
      <c r="W2" s="13" t="s">
        <v>13</v>
      </c>
      <c r="X2" s="13" t="s">
        <v>14</v>
      </c>
      <c r="Y2" s="13" t="s">
        <v>15</v>
      </c>
      <c r="Z2" s="13" t="s">
        <v>16</v>
      </c>
      <c r="AA2" s="13" t="s">
        <v>17</v>
      </c>
      <c r="AB2" s="13" t="s">
        <v>18</v>
      </c>
      <c r="AC2" s="13" t="s">
        <v>19</v>
      </c>
      <c r="AD2" s="13" t="s">
        <v>166</v>
      </c>
      <c r="AE2" s="13" t="s">
        <v>20</v>
      </c>
      <c r="AF2" s="13" t="s">
        <v>21</v>
      </c>
      <c r="AG2" s="13" t="s">
        <v>22</v>
      </c>
      <c r="AH2" s="13" t="s">
        <v>23</v>
      </c>
      <c r="AI2" s="13" t="s">
        <v>24</v>
      </c>
      <c r="AJ2" s="13" t="s">
        <v>25</v>
      </c>
      <c r="AK2" s="13" t="s">
        <v>33</v>
      </c>
      <c r="AL2" s="13" t="s">
        <v>34</v>
      </c>
      <c r="AM2" s="13" t="s">
        <v>35</v>
      </c>
      <c r="AN2" s="13" t="s">
        <v>36</v>
      </c>
      <c r="AO2" s="13" t="s">
        <v>37</v>
      </c>
      <c r="AP2" s="13" t="s">
        <v>38</v>
      </c>
      <c r="AQ2" s="13" t="s">
        <v>181</v>
      </c>
      <c r="AR2" s="13" t="s">
        <v>39</v>
      </c>
      <c r="AS2" s="13" t="s">
        <v>40</v>
      </c>
      <c r="AT2" s="13" t="s">
        <v>41</v>
      </c>
      <c r="AU2" s="13" t="s">
        <v>42</v>
      </c>
      <c r="AV2" s="13" t="s">
        <v>43</v>
      </c>
      <c r="AW2" s="13" t="s">
        <v>44</v>
      </c>
      <c r="AX2" s="13" t="s">
        <v>45</v>
      </c>
      <c r="AY2" s="13" t="s">
        <v>46</v>
      </c>
    </row>
    <row r="3" spans="1:51" x14ac:dyDescent="0.2">
      <c r="A3" s="13" t="s">
        <v>3</v>
      </c>
      <c r="B3" s="13" t="s">
        <v>47</v>
      </c>
      <c r="C3" s="13" t="s">
        <v>195</v>
      </c>
      <c r="D3" s="13" t="s">
        <v>195</v>
      </c>
      <c r="E3" s="12" t="s">
        <v>48</v>
      </c>
      <c r="F3" s="13" t="s">
        <v>146</v>
      </c>
      <c r="G3" s="13">
        <v>32</v>
      </c>
      <c r="H3" s="13" t="s">
        <v>87</v>
      </c>
      <c r="I3" s="13"/>
      <c r="J3" s="13"/>
      <c r="K3" s="13"/>
      <c r="L3" s="13"/>
      <c r="M3" s="13"/>
      <c r="N3" s="13"/>
      <c r="O3" s="13"/>
      <c r="P3" s="13"/>
      <c r="Q3" s="13"/>
      <c r="R3" s="13" t="s">
        <v>145</v>
      </c>
      <c r="S3" s="13" t="s">
        <v>144</v>
      </c>
      <c r="T3" s="13" t="s">
        <v>50</v>
      </c>
      <c r="U3" s="13" t="s">
        <v>51</v>
      </c>
      <c r="V3" s="13">
        <v>1</v>
      </c>
      <c r="W3" s="13"/>
      <c r="X3" s="13" t="s">
        <v>49</v>
      </c>
      <c r="Y3" s="13" t="s">
        <v>52</v>
      </c>
      <c r="Z3" s="13">
        <v>0</v>
      </c>
      <c r="AA3" s="13">
        <v>270</v>
      </c>
      <c r="AB3" s="13">
        <v>0.6</v>
      </c>
      <c r="AC3" s="13">
        <v>0</v>
      </c>
      <c r="AD3" s="13">
        <v>0</v>
      </c>
      <c r="AE3" s="13">
        <v>100</v>
      </c>
      <c r="AF3" s="13">
        <v>1000</v>
      </c>
      <c r="AG3" s="13">
        <v>1</v>
      </c>
      <c r="AH3" s="13" t="s">
        <v>53</v>
      </c>
      <c r="AI3" s="13">
        <v>800</v>
      </c>
      <c r="AJ3" s="13">
        <v>600</v>
      </c>
      <c r="AK3" s="13">
        <v>1</v>
      </c>
      <c r="AL3" s="13" t="s">
        <v>54</v>
      </c>
      <c r="AM3" s="13">
        <v>1000</v>
      </c>
      <c r="AN3" s="13" t="s">
        <v>178</v>
      </c>
      <c r="AO3" s="13" t="s">
        <v>56</v>
      </c>
      <c r="AP3" s="13" t="s">
        <v>57</v>
      </c>
      <c r="AQ3" s="13">
        <v>0.4</v>
      </c>
      <c r="AR3" s="13">
        <v>0.3</v>
      </c>
      <c r="AS3" s="13">
        <v>100</v>
      </c>
      <c r="AT3" s="13">
        <v>250</v>
      </c>
      <c r="AU3" s="13">
        <v>0</v>
      </c>
      <c r="AV3" s="13">
        <v>3</v>
      </c>
      <c r="AW3" s="13">
        <v>2</v>
      </c>
      <c r="AX3" s="13" t="s">
        <v>58</v>
      </c>
      <c r="AY3" s="13">
        <v>1</v>
      </c>
    </row>
    <row r="4" spans="1:51" x14ac:dyDescent="0.2">
      <c r="A4" s="13" t="s">
        <v>3</v>
      </c>
      <c r="B4" s="13" t="s">
        <v>191</v>
      </c>
      <c r="C4" s="14">
        <v>466561</v>
      </c>
      <c r="D4" s="14" t="str">
        <f>s(C4)</f>
        <v>A001</v>
      </c>
      <c r="E4" s="12" t="s">
        <v>59</v>
      </c>
      <c r="F4" s="13" t="s">
        <v>146</v>
      </c>
      <c r="G4" s="13">
        <v>32</v>
      </c>
      <c r="H4" s="13"/>
      <c r="I4" s="12" t="s">
        <v>60</v>
      </c>
      <c r="J4" s="13">
        <v>22</v>
      </c>
      <c r="K4" s="13">
        <v>13</v>
      </c>
      <c r="L4" s="13">
        <v>17</v>
      </c>
      <c r="M4" s="13">
        <v>2.7</v>
      </c>
      <c r="N4" s="13">
        <v>1.5</v>
      </c>
      <c r="O4" s="13">
        <v>1.8</v>
      </c>
      <c r="P4" s="13" t="s">
        <v>26</v>
      </c>
      <c r="Q4" s="13">
        <v>1</v>
      </c>
      <c r="R4" s="13" t="s">
        <v>61</v>
      </c>
      <c r="S4" s="13" t="s">
        <v>1</v>
      </c>
      <c r="T4" s="13" t="s">
        <v>50</v>
      </c>
      <c r="U4" s="13" t="s">
        <v>62</v>
      </c>
      <c r="V4" s="13">
        <v>1.25</v>
      </c>
      <c r="W4" s="13" t="s">
        <v>63</v>
      </c>
      <c r="X4" s="13" t="s">
        <v>64</v>
      </c>
      <c r="Y4" s="13" t="s">
        <v>52</v>
      </c>
      <c r="Z4" s="13">
        <v>0</v>
      </c>
      <c r="AA4" s="13">
        <v>270</v>
      </c>
      <c r="AB4" s="13">
        <v>0.6</v>
      </c>
      <c r="AC4" s="13">
        <v>0</v>
      </c>
      <c r="AD4" s="13">
        <v>1</v>
      </c>
      <c r="AE4" s="13">
        <v>100</v>
      </c>
      <c r="AF4" s="13">
        <v>1000</v>
      </c>
      <c r="AG4" s="13">
        <v>2</v>
      </c>
      <c r="AH4" s="13" t="s">
        <v>53</v>
      </c>
      <c r="AI4" s="13">
        <v>1000</v>
      </c>
      <c r="AJ4" s="13">
        <v>800</v>
      </c>
      <c r="AK4" s="13">
        <v>1</v>
      </c>
      <c r="AL4" s="13" t="s">
        <v>54</v>
      </c>
      <c r="AM4" s="13">
        <v>1000</v>
      </c>
      <c r="AN4" s="13" t="s">
        <v>55</v>
      </c>
      <c r="AO4" s="13" t="s">
        <v>56</v>
      </c>
      <c r="AP4" s="13" t="s">
        <v>57</v>
      </c>
      <c r="AQ4" s="13">
        <v>0.4</v>
      </c>
      <c r="AR4" s="13">
        <v>0.3</v>
      </c>
      <c r="AS4" s="13">
        <v>100</v>
      </c>
      <c r="AT4" s="13">
        <v>250</v>
      </c>
      <c r="AU4" s="13">
        <v>0</v>
      </c>
      <c r="AV4" s="13">
        <v>3</v>
      </c>
      <c r="AW4" s="13">
        <v>2</v>
      </c>
      <c r="AX4" s="13" t="s">
        <v>58</v>
      </c>
      <c r="AY4" s="13">
        <v>1</v>
      </c>
    </row>
    <row r="5" spans="1:51" x14ac:dyDescent="0.2">
      <c r="A5" s="13" t="s">
        <v>3</v>
      </c>
      <c r="B5" s="13" t="s">
        <v>191</v>
      </c>
      <c r="C5" s="14">
        <v>466562</v>
      </c>
      <c r="D5" s="14" t="str">
        <f t="shared" ref="D5:D15" si="0">s(C5)</f>
        <v>A002</v>
      </c>
      <c r="E5" s="12" t="s">
        <v>59</v>
      </c>
      <c r="F5" s="13" t="s">
        <v>87</v>
      </c>
      <c r="G5" s="13">
        <v>32</v>
      </c>
      <c r="H5" s="13"/>
      <c r="I5" s="12" t="s">
        <v>60</v>
      </c>
      <c r="J5" s="13">
        <v>22</v>
      </c>
      <c r="K5" s="13">
        <v>13</v>
      </c>
      <c r="L5" s="13">
        <v>17</v>
      </c>
      <c r="M5" s="13">
        <v>2.7</v>
      </c>
      <c r="N5" s="13">
        <v>1.5</v>
      </c>
      <c r="O5" s="13">
        <v>1.8</v>
      </c>
      <c r="P5" s="13" t="s">
        <v>26</v>
      </c>
      <c r="Q5" s="13">
        <v>1</v>
      </c>
      <c r="R5" s="13" t="s">
        <v>61</v>
      </c>
      <c r="S5" s="13" t="s">
        <v>1</v>
      </c>
      <c r="T5" s="13" t="s">
        <v>50</v>
      </c>
      <c r="U5" s="13" t="s">
        <v>62</v>
      </c>
      <c r="V5" s="13">
        <v>1.25</v>
      </c>
      <c r="W5" s="13" t="s">
        <v>63</v>
      </c>
      <c r="X5" s="13" t="s">
        <v>64</v>
      </c>
      <c r="Y5" s="13" t="s">
        <v>52</v>
      </c>
      <c r="Z5" s="13">
        <v>0</v>
      </c>
      <c r="AA5" s="13">
        <v>270</v>
      </c>
      <c r="AB5" s="13">
        <v>0.6</v>
      </c>
      <c r="AC5" s="13">
        <v>0</v>
      </c>
      <c r="AD5" s="13">
        <v>1</v>
      </c>
      <c r="AE5" s="13">
        <v>100</v>
      </c>
      <c r="AF5" s="13">
        <v>1000</v>
      </c>
      <c r="AG5" s="13">
        <v>2</v>
      </c>
      <c r="AH5" s="13" t="s">
        <v>53</v>
      </c>
      <c r="AI5" s="13">
        <v>1000</v>
      </c>
      <c r="AJ5" s="13">
        <v>800</v>
      </c>
      <c r="AK5" s="13">
        <v>1</v>
      </c>
      <c r="AL5" s="13" t="s">
        <v>54</v>
      </c>
      <c r="AM5" s="13">
        <v>1000</v>
      </c>
      <c r="AN5" s="13" t="s">
        <v>55</v>
      </c>
      <c r="AO5" s="13" t="s">
        <v>56</v>
      </c>
      <c r="AP5" s="13" t="s">
        <v>57</v>
      </c>
      <c r="AQ5" s="13">
        <v>0.4</v>
      </c>
      <c r="AR5" s="13">
        <v>0.3</v>
      </c>
      <c r="AS5" s="13">
        <v>100</v>
      </c>
      <c r="AT5" s="13">
        <v>250</v>
      </c>
      <c r="AU5" s="13">
        <v>0</v>
      </c>
      <c r="AV5" s="13">
        <v>3</v>
      </c>
      <c r="AW5" s="13">
        <v>2</v>
      </c>
      <c r="AX5" s="13" t="s">
        <v>58</v>
      </c>
      <c r="AY5" s="13">
        <v>1</v>
      </c>
    </row>
    <row r="6" spans="1:51" x14ac:dyDescent="0.2">
      <c r="A6" s="13" t="s">
        <v>3</v>
      </c>
      <c r="B6" s="13" t="s">
        <v>191</v>
      </c>
      <c r="C6" s="14">
        <v>466563</v>
      </c>
      <c r="D6" s="14" t="str">
        <f t="shared" si="0"/>
        <v>A003</v>
      </c>
      <c r="E6" s="12" t="s">
        <v>59</v>
      </c>
      <c r="F6" s="13" t="s">
        <v>87</v>
      </c>
      <c r="G6" s="13">
        <v>32</v>
      </c>
      <c r="H6" s="13"/>
      <c r="I6" s="12" t="s">
        <v>60</v>
      </c>
      <c r="J6" s="13">
        <v>22</v>
      </c>
      <c r="K6" s="13">
        <v>13</v>
      </c>
      <c r="L6" s="13">
        <v>17</v>
      </c>
      <c r="M6" s="13">
        <v>2.7</v>
      </c>
      <c r="N6" s="13">
        <v>1.5</v>
      </c>
      <c r="O6" s="13">
        <v>1.8</v>
      </c>
      <c r="P6" s="13" t="s">
        <v>26</v>
      </c>
      <c r="Q6" s="13">
        <v>1</v>
      </c>
      <c r="R6" s="13" t="s">
        <v>61</v>
      </c>
      <c r="S6" s="13" t="s">
        <v>1</v>
      </c>
      <c r="T6" s="13" t="s">
        <v>50</v>
      </c>
      <c r="U6" s="13" t="s">
        <v>62</v>
      </c>
      <c r="V6" s="13">
        <v>1.25</v>
      </c>
      <c r="W6" s="13" t="s">
        <v>63</v>
      </c>
      <c r="X6" s="13" t="s">
        <v>64</v>
      </c>
      <c r="Y6" s="13" t="s">
        <v>52</v>
      </c>
      <c r="Z6" s="13">
        <v>0</v>
      </c>
      <c r="AA6" s="13">
        <v>270</v>
      </c>
      <c r="AB6" s="13">
        <v>0.6</v>
      </c>
      <c r="AC6" s="13">
        <v>0</v>
      </c>
      <c r="AD6" s="13">
        <v>1</v>
      </c>
      <c r="AE6" s="13">
        <v>100</v>
      </c>
      <c r="AF6" s="13">
        <v>1000</v>
      </c>
      <c r="AG6" s="13">
        <v>2</v>
      </c>
      <c r="AH6" s="13" t="s">
        <v>53</v>
      </c>
      <c r="AI6" s="13">
        <v>1000</v>
      </c>
      <c r="AJ6" s="13">
        <v>800</v>
      </c>
      <c r="AK6" s="13">
        <v>1</v>
      </c>
      <c r="AL6" s="13" t="s">
        <v>54</v>
      </c>
      <c r="AM6" s="13">
        <v>1000</v>
      </c>
      <c r="AN6" s="13" t="s">
        <v>55</v>
      </c>
      <c r="AO6" s="13" t="s">
        <v>56</v>
      </c>
      <c r="AP6" s="13" t="s">
        <v>57</v>
      </c>
      <c r="AQ6" s="13">
        <v>0.4</v>
      </c>
      <c r="AR6" s="13">
        <v>0.3</v>
      </c>
      <c r="AS6" s="13">
        <v>100</v>
      </c>
      <c r="AT6" s="13">
        <v>250</v>
      </c>
      <c r="AU6" s="13">
        <v>0</v>
      </c>
      <c r="AV6" s="13">
        <v>3</v>
      </c>
      <c r="AW6" s="13">
        <v>2</v>
      </c>
      <c r="AX6" s="13" t="s">
        <v>58</v>
      </c>
      <c r="AY6" s="13">
        <v>1</v>
      </c>
    </row>
    <row r="7" spans="1:51" x14ac:dyDescent="0.2">
      <c r="A7" s="13" t="s">
        <v>3</v>
      </c>
      <c r="B7" s="13" t="s">
        <v>191</v>
      </c>
      <c r="C7" s="14">
        <v>466564</v>
      </c>
      <c r="D7" s="14" t="str">
        <f t="shared" si="0"/>
        <v>A004</v>
      </c>
      <c r="E7" s="12" t="s">
        <v>59</v>
      </c>
      <c r="F7" s="13" t="s">
        <v>87</v>
      </c>
      <c r="G7" s="13">
        <v>32</v>
      </c>
      <c r="H7" s="13"/>
      <c r="I7" s="12" t="s">
        <v>60</v>
      </c>
      <c r="J7" s="13">
        <v>22</v>
      </c>
      <c r="K7" s="13">
        <v>13</v>
      </c>
      <c r="L7" s="13">
        <v>17</v>
      </c>
      <c r="M7" s="13">
        <v>2.7</v>
      </c>
      <c r="N7" s="13">
        <v>1.5</v>
      </c>
      <c r="O7" s="13">
        <v>1.8</v>
      </c>
      <c r="P7" s="13" t="s">
        <v>26</v>
      </c>
      <c r="Q7" s="13">
        <v>1</v>
      </c>
      <c r="R7" s="13" t="s">
        <v>61</v>
      </c>
      <c r="S7" s="13" t="s">
        <v>1</v>
      </c>
      <c r="T7" s="13" t="s">
        <v>50</v>
      </c>
      <c r="U7" s="13" t="s">
        <v>62</v>
      </c>
      <c r="V7" s="13">
        <v>1.25</v>
      </c>
      <c r="W7" s="13" t="s">
        <v>63</v>
      </c>
      <c r="X7" s="13" t="s">
        <v>64</v>
      </c>
      <c r="Y7" s="13" t="s">
        <v>52</v>
      </c>
      <c r="Z7" s="13">
        <v>0</v>
      </c>
      <c r="AA7" s="13">
        <v>270</v>
      </c>
      <c r="AB7" s="13">
        <v>0.6</v>
      </c>
      <c r="AC7" s="13">
        <v>0</v>
      </c>
      <c r="AD7" s="13">
        <v>1</v>
      </c>
      <c r="AE7" s="13">
        <v>100</v>
      </c>
      <c r="AF7" s="13">
        <v>1000</v>
      </c>
      <c r="AG7" s="13">
        <v>2</v>
      </c>
      <c r="AH7" s="13" t="s">
        <v>53</v>
      </c>
      <c r="AI7" s="13">
        <v>1000</v>
      </c>
      <c r="AJ7" s="13">
        <v>800</v>
      </c>
      <c r="AK7" s="13">
        <v>1</v>
      </c>
      <c r="AL7" s="13" t="s">
        <v>54</v>
      </c>
      <c r="AM7" s="13">
        <v>1000</v>
      </c>
      <c r="AN7" s="13" t="s">
        <v>55</v>
      </c>
      <c r="AO7" s="13" t="s">
        <v>56</v>
      </c>
      <c r="AP7" s="13" t="s">
        <v>57</v>
      </c>
      <c r="AQ7" s="13">
        <v>0.4</v>
      </c>
      <c r="AR7" s="13">
        <v>0.3</v>
      </c>
      <c r="AS7" s="13">
        <v>100</v>
      </c>
      <c r="AT7" s="13">
        <v>250</v>
      </c>
      <c r="AU7" s="13">
        <v>0</v>
      </c>
      <c r="AV7" s="13">
        <v>3</v>
      </c>
      <c r="AW7" s="13">
        <v>2</v>
      </c>
      <c r="AX7" s="13" t="s">
        <v>58</v>
      </c>
      <c r="AY7" s="13">
        <v>1</v>
      </c>
    </row>
    <row r="8" spans="1:51" x14ac:dyDescent="0.2">
      <c r="A8" s="13" t="s">
        <v>3</v>
      </c>
      <c r="B8" s="13" t="s">
        <v>191</v>
      </c>
      <c r="C8" s="14">
        <v>466565</v>
      </c>
      <c r="D8" s="14" t="str">
        <f t="shared" si="0"/>
        <v>A005</v>
      </c>
      <c r="E8" s="12" t="s">
        <v>59</v>
      </c>
      <c r="F8" s="13" t="s">
        <v>87</v>
      </c>
      <c r="G8" s="13">
        <v>32</v>
      </c>
      <c r="H8" s="13"/>
      <c r="I8" s="12" t="s">
        <v>60</v>
      </c>
      <c r="J8" s="13">
        <v>22</v>
      </c>
      <c r="K8" s="13">
        <v>13</v>
      </c>
      <c r="L8" s="13">
        <v>17</v>
      </c>
      <c r="M8" s="13">
        <v>2.7</v>
      </c>
      <c r="N8" s="13">
        <v>1.5</v>
      </c>
      <c r="O8" s="13">
        <v>1.8</v>
      </c>
      <c r="P8" s="13" t="s">
        <v>26</v>
      </c>
      <c r="Q8" s="13">
        <v>1</v>
      </c>
      <c r="R8" s="13" t="s">
        <v>61</v>
      </c>
      <c r="S8" s="13" t="s">
        <v>1</v>
      </c>
      <c r="T8" s="13" t="s">
        <v>50</v>
      </c>
      <c r="U8" s="13" t="s">
        <v>62</v>
      </c>
      <c r="V8" s="13">
        <v>1.25</v>
      </c>
      <c r="W8" s="13" t="s">
        <v>63</v>
      </c>
      <c r="X8" s="13" t="s">
        <v>64</v>
      </c>
      <c r="Y8" s="13" t="s">
        <v>52</v>
      </c>
      <c r="Z8" s="13">
        <v>0</v>
      </c>
      <c r="AA8" s="13">
        <v>270</v>
      </c>
      <c r="AB8" s="13">
        <v>0.6</v>
      </c>
      <c r="AC8" s="13">
        <v>0</v>
      </c>
      <c r="AD8" s="13">
        <v>1</v>
      </c>
      <c r="AE8" s="13">
        <v>100</v>
      </c>
      <c r="AF8" s="13">
        <v>1000</v>
      </c>
      <c r="AG8" s="13">
        <v>2</v>
      </c>
      <c r="AH8" s="13" t="s">
        <v>53</v>
      </c>
      <c r="AI8" s="13">
        <v>1000</v>
      </c>
      <c r="AJ8" s="13">
        <v>800</v>
      </c>
      <c r="AK8" s="13">
        <v>1</v>
      </c>
      <c r="AL8" s="13" t="s">
        <v>54</v>
      </c>
      <c r="AM8" s="13">
        <v>1000</v>
      </c>
      <c r="AN8" s="13" t="s">
        <v>55</v>
      </c>
      <c r="AO8" s="13" t="s">
        <v>56</v>
      </c>
      <c r="AP8" s="13" t="s">
        <v>57</v>
      </c>
      <c r="AQ8" s="13">
        <v>0.4</v>
      </c>
      <c r="AR8" s="13">
        <v>0.3</v>
      </c>
      <c r="AS8" s="13">
        <v>100</v>
      </c>
      <c r="AT8" s="13">
        <v>250</v>
      </c>
      <c r="AU8" s="13">
        <v>0</v>
      </c>
      <c r="AV8" s="13">
        <v>3</v>
      </c>
      <c r="AW8" s="13">
        <v>2</v>
      </c>
      <c r="AX8" s="13" t="s">
        <v>58</v>
      </c>
      <c r="AY8" s="13">
        <v>1</v>
      </c>
    </row>
    <row r="9" spans="1:51" x14ac:dyDescent="0.2">
      <c r="A9" s="13" t="s">
        <v>3</v>
      </c>
      <c r="B9" s="13" t="s">
        <v>191</v>
      </c>
      <c r="C9" s="14">
        <v>466566</v>
      </c>
      <c r="D9" s="14" t="str">
        <f t="shared" si="0"/>
        <v>A006</v>
      </c>
      <c r="E9" s="12" t="s">
        <v>59</v>
      </c>
      <c r="F9" s="13" t="s">
        <v>87</v>
      </c>
      <c r="G9" s="13">
        <v>32</v>
      </c>
      <c r="H9" s="13"/>
      <c r="I9" s="12" t="s">
        <v>60</v>
      </c>
      <c r="J9" s="13">
        <v>22</v>
      </c>
      <c r="K9" s="13">
        <v>13</v>
      </c>
      <c r="L9" s="13">
        <v>17</v>
      </c>
      <c r="M9" s="13">
        <v>2.7</v>
      </c>
      <c r="N9" s="13">
        <v>1.5</v>
      </c>
      <c r="O9" s="13">
        <v>1.8</v>
      </c>
      <c r="P9" s="13" t="s">
        <v>26</v>
      </c>
      <c r="Q9" s="13">
        <v>1</v>
      </c>
      <c r="R9" s="13" t="s">
        <v>61</v>
      </c>
      <c r="S9" s="13" t="s">
        <v>1</v>
      </c>
      <c r="T9" s="13" t="s">
        <v>50</v>
      </c>
      <c r="U9" s="13" t="s">
        <v>62</v>
      </c>
      <c r="V9" s="13">
        <v>1.25</v>
      </c>
      <c r="W9" s="13" t="s">
        <v>63</v>
      </c>
      <c r="X9" s="13" t="s">
        <v>64</v>
      </c>
      <c r="Y9" s="13" t="s">
        <v>52</v>
      </c>
      <c r="Z9" s="13">
        <v>0</v>
      </c>
      <c r="AA9" s="13">
        <v>270</v>
      </c>
      <c r="AB9" s="13">
        <v>0.6</v>
      </c>
      <c r="AC9" s="13">
        <v>0</v>
      </c>
      <c r="AD9" s="13">
        <v>1</v>
      </c>
      <c r="AE9" s="13">
        <v>100</v>
      </c>
      <c r="AF9" s="13">
        <v>1000</v>
      </c>
      <c r="AG9" s="13">
        <v>2</v>
      </c>
      <c r="AH9" s="13" t="s">
        <v>53</v>
      </c>
      <c r="AI9" s="13">
        <v>1000</v>
      </c>
      <c r="AJ9" s="13">
        <v>800</v>
      </c>
      <c r="AK9" s="13">
        <v>1</v>
      </c>
      <c r="AL9" s="13" t="s">
        <v>54</v>
      </c>
      <c r="AM9" s="13">
        <v>1000</v>
      </c>
      <c r="AN9" s="13" t="s">
        <v>55</v>
      </c>
      <c r="AO9" s="13" t="s">
        <v>56</v>
      </c>
      <c r="AP9" s="13" t="s">
        <v>57</v>
      </c>
      <c r="AQ9" s="13">
        <v>0.4</v>
      </c>
      <c r="AR9" s="13">
        <v>0.3</v>
      </c>
      <c r="AS9" s="13">
        <v>100</v>
      </c>
      <c r="AT9" s="13">
        <v>250</v>
      </c>
      <c r="AU9" s="13">
        <v>0</v>
      </c>
      <c r="AV9" s="13">
        <v>3</v>
      </c>
      <c r="AW9" s="13">
        <v>2</v>
      </c>
      <c r="AX9" s="13" t="s">
        <v>58</v>
      </c>
      <c r="AY9" s="13">
        <v>1</v>
      </c>
    </row>
    <row r="10" spans="1:51" x14ac:dyDescent="0.2">
      <c r="A10" s="13" t="s">
        <v>3</v>
      </c>
      <c r="B10" s="13" t="s">
        <v>191</v>
      </c>
      <c r="C10" s="14">
        <v>466567</v>
      </c>
      <c r="D10" s="14" t="str">
        <f t="shared" si="0"/>
        <v>A007</v>
      </c>
      <c r="E10" s="12" t="s">
        <v>59</v>
      </c>
      <c r="F10" s="13" t="s">
        <v>87</v>
      </c>
      <c r="G10" s="13">
        <v>32</v>
      </c>
      <c r="H10" s="13"/>
      <c r="I10" s="12" t="s">
        <v>60</v>
      </c>
      <c r="J10" s="13">
        <v>22</v>
      </c>
      <c r="K10" s="13">
        <v>13</v>
      </c>
      <c r="L10" s="13">
        <v>17</v>
      </c>
      <c r="M10" s="13">
        <v>2.7</v>
      </c>
      <c r="N10" s="13">
        <v>1.5</v>
      </c>
      <c r="O10" s="13">
        <v>1.8</v>
      </c>
      <c r="P10" s="13" t="s">
        <v>26</v>
      </c>
      <c r="Q10" s="13">
        <v>1</v>
      </c>
      <c r="R10" s="13" t="s">
        <v>61</v>
      </c>
      <c r="S10" s="13" t="s">
        <v>1</v>
      </c>
      <c r="T10" s="13" t="s">
        <v>50</v>
      </c>
      <c r="U10" s="13" t="s">
        <v>62</v>
      </c>
      <c r="V10" s="13">
        <v>1.25</v>
      </c>
      <c r="W10" s="13" t="s">
        <v>63</v>
      </c>
      <c r="X10" s="13" t="s">
        <v>64</v>
      </c>
      <c r="Y10" s="13" t="s">
        <v>52</v>
      </c>
      <c r="Z10" s="13">
        <v>0</v>
      </c>
      <c r="AA10" s="13">
        <v>270</v>
      </c>
      <c r="AB10" s="13">
        <v>0.6</v>
      </c>
      <c r="AC10" s="13">
        <v>0</v>
      </c>
      <c r="AD10" s="13">
        <v>1</v>
      </c>
      <c r="AE10" s="13">
        <v>100</v>
      </c>
      <c r="AF10" s="13">
        <v>1000</v>
      </c>
      <c r="AG10" s="13">
        <v>2</v>
      </c>
      <c r="AH10" s="13" t="s">
        <v>53</v>
      </c>
      <c r="AI10" s="13">
        <v>1000</v>
      </c>
      <c r="AJ10" s="13">
        <v>800</v>
      </c>
      <c r="AK10" s="13">
        <v>1</v>
      </c>
      <c r="AL10" s="13" t="s">
        <v>54</v>
      </c>
      <c r="AM10" s="13">
        <v>1000</v>
      </c>
      <c r="AN10" s="13" t="s">
        <v>55</v>
      </c>
      <c r="AO10" s="13" t="s">
        <v>56</v>
      </c>
      <c r="AP10" s="13" t="s">
        <v>57</v>
      </c>
      <c r="AQ10" s="13">
        <v>0.4</v>
      </c>
      <c r="AR10" s="13">
        <v>0.3</v>
      </c>
      <c r="AS10" s="13">
        <v>100</v>
      </c>
      <c r="AT10" s="13">
        <v>250</v>
      </c>
      <c r="AU10" s="13">
        <v>0</v>
      </c>
      <c r="AV10" s="13">
        <v>3</v>
      </c>
      <c r="AW10" s="13">
        <v>2</v>
      </c>
      <c r="AX10" s="13" t="s">
        <v>58</v>
      </c>
      <c r="AY10" s="13">
        <v>1</v>
      </c>
    </row>
    <row r="11" spans="1:51" x14ac:dyDescent="0.2">
      <c r="A11" s="13" t="s">
        <v>3</v>
      </c>
      <c r="B11" s="13" t="s">
        <v>191</v>
      </c>
      <c r="C11" s="14">
        <v>466568</v>
      </c>
      <c r="D11" s="14" t="str">
        <f t="shared" si="0"/>
        <v>A008</v>
      </c>
      <c r="E11" s="12" t="s">
        <v>59</v>
      </c>
      <c r="F11" s="13" t="s">
        <v>87</v>
      </c>
      <c r="G11" s="13">
        <v>32</v>
      </c>
      <c r="H11" s="13"/>
      <c r="I11" s="12" t="s">
        <v>60</v>
      </c>
      <c r="J11" s="13">
        <v>22</v>
      </c>
      <c r="K11" s="13">
        <v>13</v>
      </c>
      <c r="L11" s="13">
        <v>17</v>
      </c>
      <c r="M11" s="13">
        <v>2.7</v>
      </c>
      <c r="N11" s="13">
        <v>1.5</v>
      </c>
      <c r="O11" s="13">
        <v>1.8</v>
      </c>
      <c r="P11" s="13" t="s">
        <v>26</v>
      </c>
      <c r="Q11" s="13">
        <v>1</v>
      </c>
      <c r="R11" s="13" t="s">
        <v>61</v>
      </c>
      <c r="S11" s="13" t="s">
        <v>1</v>
      </c>
      <c r="T11" s="13" t="s">
        <v>50</v>
      </c>
      <c r="U11" s="13" t="s">
        <v>62</v>
      </c>
      <c r="V11" s="13">
        <v>1.25</v>
      </c>
      <c r="W11" s="13" t="s">
        <v>63</v>
      </c>
      <c r="X11" s="13" t="s">
        <v>64</v>
      </c>
      <c r="Y11" s="13" t="s">
        <v>52</v>
      </c>
      <c r="Z11" s="13">
        <v>0</v>
      </c>
      <c r="AA11" s="13">
        <v>270</v>
      </c>
      <c r="AB11" s="13">
        <v>0.6</v>
      </c>
      <c r="AC11" s="13">
        <v>0</v>
      </c>
      <c r="AD11" s="13">
        <v>1</v>
      </c>
      <c r="AE11" s="13">
        <v>100</v>
      </c>
      <c r="AF11" s="13">
        <v>1000</v>
      </c>
      <c r="AG11" s="13">
        <v>2</v>
      </c>
      <c r="AH11" s="13" t="s">
        <v>53</v>
      </c>
      <c r="AI11" s="13">
        <v>1000</v>
      </c>
      <c r="AJ11" s="13">
        <v>800</v>
      </c>
      <c r="AK11" s="13">
        <v>1</v>
      </c>
      <c r="AL11" s="13" t="s">
        <v>54</v>
      </c>
      <c r="AM11" s="13">
        <v>1000</v>
      </c>
      <c r="AN11" s="13" t="s">
        <v>55</v>
      </c>
      <c r="AO11" s="13" t="s">
        <v>56</v>
      </c>
      <c r="AP11" s="13" t="s">
        <v>57</v>
      </c>
      <c r="AQ11" s="13">
        <v>0.4</v>
      </c>
      <c r="AR11" s="13">
        <v>0.3</v>
      </c>
      <c r="AS11" s="13">
        <v>100</v>
      </c>
      <c r="AT11" s="13">
        <v>250</v>
      </c>
      <c r="AU11" s="13">
        <v>0</v>
      </c>
      <c r="AV11" s="13">
        <v>3</v>
      </c>
      <c r="AW11" s="13">
        <v>2</v>
      </c>
      <c r="AX11" s="13" t="s">
        <v>58</v>
      </c>
      <c r="AY11" s="13">
        <v>1</v>
      </c>
    </row>
    <row r="12" spans="1:51" x14ac:dyDescent="0.2">
      <c r="A12" s="13" t="s">
        <v>3</v>
      </c>
      <c r="B12" s="13" t="s">
        <v>191</v>
      </c>
      <c r="C12" s="14">
        <v>466569</v>
      </c>
      <c r="D12" s="14" t="str">
        <f t="shared" si="0"/>
        <v>A009</v>
      </c>
      <c r="E12" s="12" t="s">
        <v>59</v>
      </c>
      <c r="F12" s="13" t="s">
        <v>87</v>
      </c>
      <c r="G12" s="13">
        <v>32</v>
      </c>
      <c r="H12" s="13"/>
      <c r="I12" s="12" t="s">
        <v>60</v>
      </c>
      <c r="J12" s="13">
        <v>22</v>
      </c>
      <c r="K12" s="13">
        <v>13</v>
      </c>
      <c r="L12" s="13">
        <v>17</v>
      </c>
      <c r="M12" s="13">
        <v>2.7</v>
      </c>
      <c r="N12" s="13">
        <v>1.5</v>
      </c>
      <c r="O12" s="13">
        <v>1.8</v>
      </c>
      <c r="P12" s="13" t="s">
        <v>26</v>
      </c>
      <c r="Q12" s="13">
        <v>1</v>
      </c>
      <c r="R12" s="13" t="s">
        <v>61</v>
      </c>
      <c r="S12" s="13" t="s">
        <v>1</v>
      </c>
      <c r="T12" s="13" t="s">
        <v>50</v>
      </c>
      <c r="U12" s="13" t="s">
        <v>62</v>
      </c>
      <c r="V12" s="13">
        <v>1.25</v>
      </c>
      <c r="W12" s="13" t="s">
        <v>63</v>
      </c>
      <c r="X12" s="13" t="s">
        <v>64</v>
      </c>
      <c r="Y12" s="13" t="s">
        <v>52</v>
      </c>
      <c r="Z12" s="13">
        <v>0</v>
      </c>
      <c r="AA12" s="13">
        <v>270</v>
      </c>
      <c r="AB12" s="13">
        <v>0.6</v>
      </c>
      <c r="AC12" s="13">
        <v>0</v>
      </c>
      <c r="AD12" s="13">
        <v>1</v>
      </c>
      <c r="AE12" s="13">
        <v>100</v>
      </c>
      <c r="AF12" s="13">
        <v>1000</v>
      </c>
      <c r="AG12" s="13">
        <v>2</v>
      </c>
      <c r="AH12" s="13" t="s">
        <v>53</v>
      </c>
      <c r="AI12" s="13">
        <v>1000</v>
      </c>
      <c r="AJ12" s="13">
        <v>800</v>
      </c>
      <c r="AK12" s="13">
        <v>1</v>
      </c>
      <c r="AL12" s="13" t="s">
        <v>54</v>
      </c>
      <c r="AM12" s="13">
        <v>1000</v>
      </c>
      <c r="AN12" s="13" t="s">
        <v>55</v>
      </c>
      <c r="AO12" s="13" t="s">
        <v>56</v>
      </c>
      <c r="AP12" s="13" t="s">
        <v>57</v>
      </c>
      <c r="AQ12" s="13">
        <v>0.4</v>
      </c>
      <c r="AR12" s="13">
        <v>0.3</v>
      </c>
      <c r="AS12" s="13">
        <v>100</v>
      </c>
      <c r="AT12" s="13">
        <v>250</v>
      </c>
      <c r="AU12" s="13">
        <v>0</v>
      </c>
      <c r="AV12" s="13">
        <v>3</v>
      </c>
      <c r="AW12" s="13">
        <v>2</v>
      </c>
      <c r="AX12" s="13" t="s">
        <v>58</v>
      </c>
      <c r="AY12" s="13">
        <v>1</v>
      </c>
    </row>
    <row r="13" spans="1:51" x14ac:dyDescent="0.2">
      <c r="A13" s="13" t="s">
        <v>3</v>
      </c>
      <c r="B13" s="13" t="s">
        <v>191</v>
      </c>
      <c r="C13" s="14">
        <v>466570</v>
      </c>
      <c r="D13" s="14" t="str">
        <f t="shared" si="0"/>
        <v>A00A</v>
      </c>
      <c r="E13" s="12" t="s">
        <v>59</v>
      </c>
      <c r="F13" s="13" t="s">
        <v>87</v>
      </c>
      <c r="G13" s="13">
        <v>32</v>
      </c>
      <c r="H13" s="13"/>
      <c r="I13" s="12" t="s">
        <v>60</v>
      </c>
      <c r="J13" s="13">
        <v>22</v>
      </c>
      <c r="K13" s="13">
        <v>13</v>
      </c>
      <c r="L13" s="13">
        <v>17</v>
      </c>
      <c r="M13" s="13">
        <v>2.7</v>
      </c>
      <c r="N13" s="13">
        <v>1.5</v>
      </c>
      <c r="O13" s="13">
        <v>1.8</v>
      </c>
      <c r="P13" s="13" t="s">
        <v>26</v>
      </c>
      <c r="Q13" s="13">
        <v>1</v>
      </c>
      <c r="R13" s="13" t="s">
        <v>61</v>
      </c>
      <c r="S13" s="13" t="s">
        <v>1</v>
      </c>
      <c r="T13" s="13" t="s">
        <v>50</v>
      </c>
      <c r="U13" s="13" t="s">
        <v>62</v>
      </c>
      <c r="V13" s="13">
        <v>1.25</v>
      </c>
      <c r="W13" s="13" t="s">
        <v>63</v>
      </c>
      <c r="X13" s="13" t="s">
        <v>64</v>
      </c>
      <c r="Y13" s="13" t="s">
        <v>52</v>
      </c>
      <c r="Z13" s="13">
        <v>0</v>
      </c>
      <c r="AA13" s="13">
        <v>270</v>
      </c>
      <c r="AB13" s="13">
        <v>0.6</v>
      </c>
      <c r="AC13" s="13">
        <v>0</v>
      </c>
      <c r="AD13" s="13">
        <v>1</v>
      </c>
      <c r="AE13" s="13">
        <v>100</v>
      </c>
      <c r="AF13" s="13">
        <v>1000</v>
      </c>
      <c r="AG13" s="13">
        <v>2</v>
      </c>
      <c r="AH13" s="13" t="s">
        <v>53</v>
      </c>
      <c r="AI13" s="13">
        <v>1000</v>
      </c>
      <c r="AJ13" s="13">
        <v>800</v>
      </c>
      <c r="AK13" s="13">
        <v>1</v>
      </c>
      <c r="AL13" s="13" t="s">
        <v>54</v>
      </c>
      <c r="AM13" s="13">
        <v>1000</v>
      </c>
      <c r="AN13" s="13" t="s">
        <v>55</v>
      </c>
      <c r="AO13" s="13" t="s">
        <v>56</v>
      </c>
      <c r="AP13" s="13" t="s">
        <v>57</v>
      </c>
      <c r="AQ13" s="13">
        <v>0.4</v>
      </c>
      <c r="AR13" s="13">
        <v>0.3</v>
      </c>
      <c r="AS13" s="13">
        <v>100</v>
      </c>
      <c r="AT13" s="13">
        <v>250</v>
      </c>
      <c r="AU13" s="13">
        <v>0</v>
      </c>
      <c r="AV13" s="13">
        <v>3</v>
      </c>
      <c r="AW13" s="13">
        <v>2</v>
      </c>
      <c r="AX13" s="13" t="s">
        <v>58</v>
      </c>
      <c r="AY13" s="13">
        <v>1</v>
      </c>
    </row>
    <row r="14" spans="1:51" x14ac:dyDescent="0.2">
      <c r="A14" s="13" t="s">
        <v>3</v>
      </c>
      <c r="B14" s="13" t="s">
        <v>191</v>
      </c>
      <c r="C14" s="14">
        <v>466571</v>
      </c>
      <c r="D14" s="14" t="str">
        <f t="shared" si="0"/>
        <v>A00B</v>
      </c>
      <c r="E14" s="12" t="s">
        <v>59</v>
      </c>
      <c r="F14" s="13" t="s">
        <v>87</v>
      </c>
      <c r="G14" s="13">
        <v>32</v>
      </c>
      <c r="H14" s="13"/>
      <c r="I14" s="12" t="s">
        <v>60</v>
      </c>
      <c r="J14" s="13">
        <v>22</v>
      </c>
      <c r="K14" s="13">
        <v>13</v>
      </c>
      <c r="L14" s="13">
        <v>17</v>
      </c>
      <c r="M14" s="13">
        <v>2.7</v>
      </c>
      <c r="N14" s="13">
        <v>1.5</v>
      </c>
      <c r="O14" s="13">
        <v>1.8</v>
      </c>
      <c r="P14" s="13" t="s">
        <v>26</v>
      </c>
      <c r="Q14" s="13">
        <v>1</v>
      </c>
      <c r="R14" s="13" t="s">
        <v>61</v>
      </c>
      <c r="S14" s="13" t="s">
        <v>1</v>
      </c>
      <c r="T14" s="13" t="s">
        <v>50</v>
      </c>
      <c r="U14" s="13" t="s">
        <v>62</v>
      </c>
      <c r="V14" s="13">
        <v>1.25</v>
      </c>
      <c r="W14" s="13" t="s">
        <v>63</v>
      </c>
      <c r="X14" s="13" t="s">
        <v>64</v>
      </c>
      <c r="Y14" s="13" t="s">
        <v>52</v>
      </c>
      <c r="Z14" s="13">
        <v>0</v>
      </c>
      <c r="AA14" s="13">
        <v>270</v>
      </c>
      <c r="AB14" s="13">
        <v>0.6</v>
      </c>
      <c r="AC14" s="13">
        <v>0</v>
      </c>
      <c r="AD14" s="13">
        <v>1</v>
      </c>
      <c r="AE14" s="13">
        <v>100</v>
      </c>
      <c r="AF14" s="13">
        <v>1000</v>
      </c>
      <c r="AG14" s="13">
        <v>2</v>
      </c>
      <c r="AH14" s="13" t="s">
        <v>53</v>
      </c>
      <c r="AI14" s="13">
        <v>1000</v>
      </c>
      <c r="AJ14" s="13">
        <v>800</v>
      </c>
      <c r="AK14" s="13">
        <v>1</v>
      </c>
      <c r="AL14" s="13" t="s">
        <v>54</v>
      </c>
      <c r="AM14" s="13">
        <v>1000</v>
      </c>
      <c r="AN14" s="13" t="s">
        <v>55</v>
      </c>
      <c r="AO14" s="13" t="s">
        <v>56</v>
      </c>
      <c r="AP14" s="13" t="s">
        <v>57</v>
      </c>
      <c r="AQ14" s="13">
        <v>0.4</v>
      </c>
      <c r="AR14" s="13">
        <v>0.3</v>
      </c>
      <c r="AS14" s="13">
        <v>100</v>
      </c>
      <c r="AT14" s="13">
        <v>250</v>
      </c>
      <c r="AU14" s="13">
        <v>0</v>
      </c>
      <c r="AV14" s="13">
        <v>3</v>
      </c>
      <c r="AW14" s="13">
        <v>2</v>
      </c>
      <c r="AX14" s="13" t="s">
        <v>58</v>
      </c>
      <c r="AY14" s="13">
        <v>1</v>
      </c>
    </row>
    <row r="15" spans="1:51" x14ac:dyDescent="0.2">
      <c r="A15" s="13" t="s">
        <v>3</v>
      </c>
      <c r="B15" s="13" t="s">
        <v>191</v>
      </c>
      <c r="C15" s="14">
        <v>466572</v>
      </c>
      <c r="D15" s="14" t="str">
        <f t="shared" si="0"/>
        <v>A00C</v>
      </c>
      <c r="E15" s="12" t="s">
        <v>59</v>
      </c>
      <c r="F15" s="13" t="s">
        <v>87</v>
      </c>
      <c r="G15" s="13">
        <v>32</v>
      </c>
      <c r="H15" s="13"/>
      <c r="I15" s="12" t="s">
        <v>60</v>
      </c>
      <c r="J15" s="13">
        <v>22</v>
      </c>
      <c r="K15" s="13">
        <v>13</v>
      </c>
      <c r="L15" s="13">
        <v>17</v>
      </c>
      <c r="M15" s="13">
        <v>2.7</v>
      </c>
      <c r="N15" s="13">
        <v>1.5</v>
      </c>
      <c r="O15" s="13">
        <v>1.8</v>
      </c>
      <c r="P15" s="13" t="s">
        <v>26</v>
      </c>
      <c r="Q15" s="13">
        <v>1</v>
      </c>
      <c r="R15" s="13" t="s">
        <v>61</v>
      </c>
      <c r="S15" s="13" t="s">
        <v>1</v>
      </c>
      <c r="T15" s="13" t="s">
        <v>50</v>
      </c>
      <c r="U15" s="13" t="s">
        <v>62</v>
      </c>
      <c r="V15" s="13">
        <v>1.25</v>
      </c>
      <c r="W15" s="13" t="s">
        <v>63</v>
      </c>
      <c r="X15" s="13" t="s">
        <v>64</v>
      </c>
      <c r="Y15" s="13" t="s">
        <v>52</v>
      </c>
      <c r="Z15" s="13">
        <v>0</v>
      </c>
      <c r="AA15" s="13">
        <v>270</v>
      </c>
      <c r="AB15" s="13">
        <v>0.6</v>
      </c>
      <c r="AC15" s="13">
        <v>0</v>
      </c>
      <c r="AD15" s="13">
        <v>1</v>
      </c>
      <c r="AE15" s="13">
        <v>100</v>
      </c>
      <c r="AF15" s="13">
        <v>1000</v>
      </c>
      <c r="AG15" s="13">
        <v>2</v>
      </c>
      <c r="AH15" s="13" t="s">
        <v>53</v>
      </c>
      <c r="AI15" s="13">
        <v>1000</v>
      </c>
      <c r="AJ15" s="13">
        <v>800</v>
      </c>
      <c r="AK15" s="13">
        <v>1</v>
      </c>
      <c r="AL15" s="13" t="s">
        <v>54</v>
      </c>
      <c r="AM15" s="13">
        <v>1000</v>
      </c>
      <c r="AN15" s="13" t="s">
        <v>55</v>
      </c>
      <c r="AO15" s="13" t="s">
        <v>56</v>
      </c>
      <c r="AP15" s="13" t="s">
        <v>57</v>
      </c>
      <c r="AQ15" s="13">
        <v>0.4</v>
      </c>
      <c r="AR15" s="13">
        <v>0.3</v>
      </c>
      <c r="AS15" s="13">
        <v>100</v>
      </c>
      <c r="AT15" s="13">
        <v>250</v>
      </c>
      <c r="AU15" s="13">
        <v>0</v>
      </c>
      <c r="AV15" s="13">
        <v>3</v>
      </c>
      <c r="AW15" s="13">
        <v>2</v>
      </c>
      <c r="AX15" s="13" t="s">
        <v>58</v>
      </c>
      <c r="AY15" s="13">
        <v>1</v>
      </c>
    </row>
    <row r="16" spans="1:51" x14ac:dyDescent="0.2">
      <c r="A16" s="13" t="s">
        <v>3</v>
      </c>
      <c r="B16" s="13" t="s">
        <v>191</v>
      </c>
      <c r="C16" s="14">
        <v>466573</v>
      </c>
      <c r="D16" s="14" t="str">
        <f t="shared" ref="D5:D16" si="1">s(C16)</f>
        <v>A00D</v>
      </c>
      <c r="E16" s="12" t="s">
        <v>59</v>
      </c>
      <c r="F16" s="13" t="s">
        <v>87</v>
      </c>
      <c r="G16" s="13">
        <v>32</v>
      </c>
      <c r="H16" s="13"/>
      <c r="I16" s="12" t="s">
        <v>60</v>
      </c>
      <c r="J16" s="13">
        <v>22</v>
      </c>
      <c r="K16" s="13">
        <v>13</v>
      </c>
      <c r="L16" s="13">
        <v>17</v>
      </c>
      <c r="M16" s="13">
        <v>2.7</v>
      </c>
      <c r="N16" s="13">
        <v>1.5</v>
      </c>
      <c r="O16" s="13">
        <v>1.8</v>
      </c>
      <c r="P16" s="13" t="s">
        <v>26</v>
      </c>
      <c r="Q16" s="13">
        <v>1</v>
      </c>
      <c r="R16" s="13" t="s">
        <v>61</v>
      </c>
      <c r="S16" s="13" t="s">
        <v>1</v>
      </c>
      <c r="T16" s="13" t="s">
        <v>50</v>
      </c>
      <c r="U16" s="13" t="s">
        <v>62</v>
      </c>
      <c r="V16" s="13">
        <v>1.25</v>
      </c>
      <c r="W16" s="13" t="s">
        <v>63</v>
      </c>
      <c r="X16" s="13" t="s">
        <v>64</v>
      </c>
      <c r="Y16" s="13" t="s">
        <v>52</v>
      </c>
      <c r="Z16" s="13">
        <v>0</v>
      </c>
      <c r="AA16" s="13">
        <v>270</v>
      </c>
      <c r="AB16" s="13">
        <v>0.6</v>
      </c>
      <c r="AC16" s="13">
        <v>0</v>
      </c>
      <c r="AD16" s="13">
        <v>1</v>
      </c>
      <c r="AE16" s="13">
        <v>100</v>
      </c>
      <c r="AF16" s="13">
        <v>1000</v>
      </c>
      <c r="AG16" s="13">
        <v>2</v>
      </c>
      <c r="AH16" s="13" t="s">
        <v>53</v>
      </c>
      <c r="AI16" s="13">
        <v>1000</v>
      </c>
      <c r="AJ16" s="13">
        <v>800</v>
      </c>
      <c r="AK16" s="13">
        <v>1</v>
      </c>
      <c r="AL16" s="13" t="s">
        <v>54</v>
      </c>
      <c r="AM16" s="13">
        <v>1000</v>
      </c>
      <c r="AN16" s="13" t="s">
        <v>55</v>
      </c>
      <c r="AO16" s="13" t="s">
        <v>56</v>
      </c>
      <c r="AP16" s="13" t="s">
        <v>57</v>
      </c>
      <c r="AQ16" s="13">
        <v>0.4</v>
      </c>
      <c r="AR16" s="13">
        <v>0.3</v>
      </c>
      <c r="AS16" s="13">
        <v>100</v>
      </c>
      <c r="AT16" s="13">
        <v>250</v>
      </c>
      <c r="AU16" s="13">
        <v>0</v>
      </c>
      <c r="AV16" s="13">
        <v>3</v>
      </c>
      <c r="AW16" s="13">
        <v>2</v>
      </c>
      <c r="AX16" s="13" t="s">
        <v>58</v>
      </c>
      <c r="AY16" s="13">
        <v>1</v>
      </c>
    </row>
    <row r="17" spans="1:51" x14ac:dyDescent="0.2">
      <c r="A17" s="13" t="s">
        <v>3</v>
      </c>
      <c r="B17" s="13" t="s">
        <v>191</v>
      </c>
      <c r="C17" s="14">
        <v>466574</v>
      </c>
      <c r="D17" s="14" t="str">
        <f>s(C17)</f>
        <v>A00E</v>
      </c>
      <c r="E17" s="12" t="s">
        <v>59</v>
      </c>
      <c r="F17" s="13" t="s">
        <v>87</v>
      </c>
      <c r="G17" s="13">
        <v>32</v>
      </c>
      <c r="H17" s="13"/>
      <c r="I17" s="12" t="s">
        <v>60</v>
      </c>
      <c r="J17" s="13">
        <v>22</v>
      </c>
      <c r="K17" s="13">
        <v>13</v>
      </c>
      <c r="L17" s="13">
        <v>17</v>
      </c>
      <c r="M17" s="13">
        <v>2.7</v>
      </c>
      <c r="N17" s="13">
        <v>1.5</v>
      </c>
      <c r="O17" s="13">
        <v>1.8</v>
      </c>
      <c r="P17" s="13" t="s">
        <v>26</v>
      </c>
      <c r="Q17" s="13">
        <v>1</v>
      </c>
      <c r="R17" s="13" t="s">
        <v>61</v>
      </c>
      <c r="S17" s="13" t="s">
        <v>1</v>
      </c>
      <c r="T17" s="13" t="s">
        <v>50</v>
      </c>
      <c r="U17" s="13" t="s">
        <v>62</v>
      </c>
      <c r="V17" s="13">
        <v>1.25</v>
      </c>
      <c r="W17" s="13" t="s">
        <v>63</v>
      </c>
      <c r="X17" s="13" t="s">
        <v>64</v>
      </c>
      <c r="Y17" s="13" t="s">
        <v>52</v>
      </c>
      <c r="Z17" s="13">
        <v>0</v>
      </c>
      <c r="AA17" s="13">
        <v>270</v>
      </c>
      <c r="AB17" s="13">
        <v>0.6</v>
      </c>
      <c r="AC17" s="13">
        <v>0</v>
      </c>
      <c r="AD17" s="13">
        <v>1</v>
      </c>
      <c r="AE17" s="13">
        <v>100</v>
      </c>
      <c r="AF17" s="13">
        <v>1000</v>
      </c>
      <c r="AG17" s="13">
        <v>2</v>
      </c>
      <c r="AH17" s="13" t="s">
        <v>53</v>
      </c>
      <c r="AI17" s="13">
        <v>1000</v>
      </c>
      <c r="AJ17" s="13">
        <v>800</v>
      </c>
      <c r="AK17" s="13">
        <v>1</v>
      </c>
      <c r="AL17" s="13" t="s">
        <v>54</v>
      </c>
      <c r="AM17" s="13">
        <v>1000</v>
      </c>
      <c r="AN17" s="13" t="s">
        <v>55</v>
      </c>
      <c r="AO17" s="13" t="s">
        <v>56</v>
      </c>
      <c r="AP17" s="13" t="s">
        <v>57</v>
      </c>
      <c r="AQ17" s="13">
        <v>0.4</v>
      </c>
      <c r="AR17" s="13">
        <v>0.3</v>
      </c>
      <c r="AS17" s="13">
        <v>100</v>
      </c>
      <c r="AT17" s="13">
        <v>250</v>
      </c>
      <c r="AU17" s="13">
        <v>0</v>
      </c>
      <c r="AV17" s="13">
        <v>3</v>
      </c>
      <c r="AW17" s="13">
        <v>2</v>
      </c>
      <c r="AX17" s="13" t="s">
        <v>58</v>
      </c>
      <c r="AY17" s="13">
        <v>1</v>
      </c>
    </row>
    <row r="18" spans="1:51" x14ac:dyDescent="0.2">
      <c r="C18" s="14"/>
      <c r="D18" s="14"/>
    </row>
    <row r="19" spans="1:51" x14ac:dyDescent="0.2">
      <c r="C19" s="14"/>
      <c r="D19" s="14"/>
    </row>
    <row r="20" spans="1:51" x14ac:dyDescent="0.2">
      <c r="C20" s="14"/>
      <c r="D20" s="14"/>
    </row>
    <row r="21" spans="1:51" x14ac:dyDescent="0.2">
      <c r="C21" s="14"/>
    </row>
    <row r="22" spans="1:51" x14ac:dyDescent="0.2">
      <c r="C22" s="14"/>
    </row>
    <row r="23" spans="1:51" x14ac:dyDescent="0.2">
      <c r="C23" s="14"/>
    </row>
    <row r="24" spans="1:51" x14ac:dyDescent="0.2">
      <c r="C24" s="14"/>
    </row>
  </sheetData>
  <phoneticPr fontId="1" type="noConversion"/>
  <dataValidations count="1">
    <dataValidation type="list" allowBlank="1" showInputMessage="1" showErrorMessage="1" sqref="A3">
      <formula1>"ability,item,unit,buff,destructable,doodad,upgrade,"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Start</vt:lpstr>
      <vt:lpstr>技能</vt:lpstr>
      <vt:lpstr>单位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xtzj</dc:creator>
  <cp:lastModifiedBy>Administrator</cp:lastModifiedBy>
  <dcterms:created xsi:type="dcterms:W3CDTF">2008-09-11T17:22:52Z</dcterms:created>
  <dcterms:modified xsi:type="dcterms:W3CDTF">2020-09-11T08:32:13Z</dcterms:modified>
</cp:coreProperties>
</file>